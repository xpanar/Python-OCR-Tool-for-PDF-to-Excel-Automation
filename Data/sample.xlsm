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pana\OneDrive\Desktop\Python_ws\compleat project\"/>
    </mc:Choice>
  </mc:AlternateContent>
  <xr:revisionPtr revIDLastSave="0" documentId="13_ncr:1_{478C769A-4120-4048-BDB2-5F20191932FA}" xr6:coauthVersionLast="47" xr6:coauthVersionMax="47" xr10:uidLastSave="{00000000-0000-0000-0000-000000000000}"/>
  <bookViews>
    <workbookView minimized="1" xWindow="4860" yWindow="3708" windowWidth="17280" windowHeight="8880" xr2:uid="{00000000-000D-0000-FFFF-FFFF00000000}"/>
  </bookViews>
  <sheets>
    <sheet name="Client Master" sheetId="1" r:id="rId1"/>
    <sheet name="1st LOT" sheetId="2" r:id="rId2"/>
    <sheet name="2nd LOT" sheetId="7" r:id="rId3"/>
    <sheet name="3rd LOT" sheetId="8" r:id="rId4"/>
    <sheet name="CANCELLED" sheetId="9" r:id="rId5"/>
    <sheet name="ON HOLD" sheetId="10" r:id="rId6"/>
    <sheet name="FBS Master" sheetId="11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" i="11" l="1"/>
  <c r="M3" i="11"/>
  <c r="L11" i="11"/>
  <c r="O10" i="11"/>
  <c r="L15" i="7" l="1"/>
  <c r="L12" i="1"/>
  <c r="M20" i="11"/>
  <c r="L24" i="11"/>
  <c r="L23" i="11"/>
  <c r="L22" i="11"/>
  <c r="L21" i="11"/>
  <c r="L20" i="11"/>
  <c r="L8" i="11"/>
  <c r="L12" i="10"/>
  <c r="L9" i="10"/>
  <c r="L8" i="10"/>
  <c r="L7" i="10"/>
  <c r="L12" i="9"/>
  <c r="L9" i="9"/>
  <c r="L8" i="9"/>
  <c r="L7" i="9"/>
  <c r="L12" i="8"/>
  <c r="L9" i="8"/>
  <c r="L8" i="8"/>
  <c r="L7" i="8"/>
  <c r="L12" i="7"/>
  <c r="L9" i="7"/>
  <c r="L8" i="7"/>
  <c r="L7" i="7"/>
  <c r="L12" i="2"/>
  <c r="L9" i="2"/>
  <c r="L8" i="2"/>
  <c r="L7" i="2"/>
  <c r="L13" i="10" l="1"/>
  <c r="L14" i="10" s="1"/>
  <c r="L26" i="1" s="1"/>
  <c r="L15" i="9"/>
  <c r="L13" i="7"/>
  <c r="L14" i="7" s="1"/>
  <c r="L24" i="1" s="1"/>
  <c r="L13" i="1"/>
  <c r="L14" i="1"/>
  <c r="L9" i="1"/>
  <c r="L10" i="1" s="1"/>
  <c r="L7" i="11"/>
  <c r="B3" i="11"/>
  <c r="B2" i="11"/>
  <c r="B1" i="11"/>
  <c r="H3" i="11"/>
  <c r="H2" i="11"/>
  <c r="H1" i="11"/>
  <c r="M2" i="11"/>
  <c r="L11" i="2"/>
  <c r="L10" i="2"/>
  <c r="L8" i="1"/>
  <c r="L16" i="7" l="1"/>
  <c r="L15" i="10"/>
  <c r="L16" i="10" s="1"/>
  <c r="L13" i="9"/>
  <c r="L14" i="9" s="1"/>
  <c r="L27" i="1" s="1"/>
  <c r="L15" i="2"/>
  <c r="L16" i="2" s="1"/>
  <c r="L13" i="2"/>
  <c r="L14" i="2" s="1"/>
  <c r="L23" i="1" s="1"/>
  <c r="L15" i="8"/>
  <c r="L13" i="8"/>
  <c r="L14" i="8" s="1"/>
  <c r="L25" i="1" s="1"/>
  <c r="L9" i="11"/>
  <c r="L10" i="11" s="1"/>
  <c r="L11" i="1"/>
  <c r="L17" i="1"/>
  <c r="L16" i="9" l="1"/>
  <c r="L16" i="8"/>
  <c r="L14" i="11"/>
  <c r="L15" i="1"/>
  <c r="L16" i="1" s="1"/>
  <c r="M23" i="1" s="1"/>
  <c r="L12" i="11" l="1"/>
  <c r="L13" i="11" s="1"/>
  <c r="L15" i="11" l="1"/>
  <c r="L18" i="1"/>
</calcChain>
</file>

<file path=xl/sharedStrings.xml><?xml version="1.0" encoding="utf-8"?>
<sst xmlns="http://schemas.openxmlformats.org/spreadsheetml/2006/main" count="178" uniqueCount="46">
  <si>
    <t>Client Name :</t>
  </si>
  <si>
    <t>Contact No :</t>
  </si>
  <si>
    <t>Client Final Price :</t>
  </si>
  <si>
    <t>Address :</t>
  </si>
  <si>
    <t>Order Type :</t>
  </si>
  <si>
    <t>Client Discount % :</t>
  </si>
  <si>
    <t>Email ID :</t>
  </si>
  <si>
    <t>Sales Executive :</t>
  </si>
  <si>
    <t>Sales Line</t>
  </si>
  <si>
    <t>Window Code</t>
  </si>
  <si>
    <t>Qty</t>
  </si>
  <si>
    <t>Rate</t>
  </si>
  <si>
    <t>Amount</t>
  </si>
  <si>
    <t>Installation</t>
  </si>
  <si>
    <t>Status</t>
  </si>
  <si>
    <t/>
  </si>
  <si>
    <t>Material Price</t>
  </si>
  <si>
    <t>Less</t>
  </si>
  <si>
    <t>Discounted Material</t>
  </si>
  <si>
    <t>Transport Cost</t>
  </si>
  <si>
    <t>Lead and Lift</t>
  </si>
  <si>
    <t>Installation Total</t>
  </si>
  <si>
    <t>GST</t>
  </si>
  <si>
    <t>Best Offer</t>
  </si>
  <si>
    <t>Total Quote</t>
  </si>
  <si>
    <t>Discount Given</t>
  </si>
  <si>
    <t>Payment Terms :</t>
  </si>
  <si>
    <t>1ST LOT</t>
  </si>
  <si>
    <t>2ST LOT</t>
  </si>
  <si>
    <t>3ST LOT</t>
  </si>
  <si>
    <t>ON HOLD</t>
  </si>
  <si>
    <t>CANCELLED</t>
  </si>
  <si>
    <t>Discount %</t>
  </si>
  <si>
    <t>BOOKING</t>
  </si>
  <si>
    <t>SURVEY</t>
  </si>
  <si>
    <t>DISPATCH</t>
  </si>
  <si>
    <t>TOTAL</t>
  </si>
  <si>
    <t xml:space="preserve"> </t>
  </si>
  <si>
    <t>DP X %:</t>
  </si>
  <si>
    <t>RP TOTAL</t>
  </si>
  <si>
    <t>Transport / Lead &amp; Lift</t>
  </si>
  <si>
    <t>Window type</t>
  </si>
  <si>
    <t>100% on BOOKING</t>
  </si>
  <si>
    <t xml:space="preserve"> - - </t>
  </si>
  <si>
    <t>Total</t>
  </si>
  <si>
    <t xml:space="preserve"> Less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</si>
</sst>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7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9FFD4"/>
        <bgColor indexed="64"/>
      </patternFill>
    </fill>
    <fill>
      <patternFill patternType="solid">
        <fgColor rgb="FFF1FFD4"/>
        <bgColor indexed="64"/>
      </patternFill>
    </fill>
    <fill>
      <patternFill patternType="solid">
        <fgColor rgb="FFFFFBD4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8E6C9"/>
        <bgColor indexed="64"/>
      </patternFill>
    </fill>
    <fill>
      <patternFill patternType="solid">
        <fgColor rgb="FFBBDEFB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CDD2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1" fillId="3" borderId="1" xfId="0" applyFont="1" applyFill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7" borderId="1" xfId="0" applyFont="1" applyFill="1" applyBorder="1" applyAlignment="1">
      <alignment wrapText="1"/>
    </xf>
    <xf numFmtId="0" fontId="1" fillId="8" borderId="1" xfId="0" applyFont="1" applyFill="1" applyBorder="1" applyAlignment="1">
      <alignment wrapText="1"/>
    </xf>
    <xf numFmtId="0" fontId="3" fillId="0" borderId="3" xfId="0" applyFont="1" applyBorder="1" applyAlignment="1">
      <alignment wrapText="1"/>
    </xf>
    <xf numFmtId="0" fontId="0" fillId="0" borderId="3" xfId="0" applyBorder="1"/>
    <xf numFmtId="0" fontId="1" fillId="2" borderId="2" xfId="0" applyFont="1" applyFill="1" applyBorder="1" applyAlignment="1">
      <alignment wrapText="1"/>
    </xf>
    <xf numFmtId="0" fontId="1" fillId="5" borderId="4" xfId="0" applyFont="1" applyFill="1" applyBorder="1" applyAlignment="1">
      <alignment wrapText="1"/>
    </xf>
    <xf numFmtId="0" fontId="1" fillId="4" borderId="5" xfId="0" applyFont="1" applyFill="1" applyBorder="1" applyAlignment="1">
      <alignment wrapText="1"/>
    </xf>
    <xf numFmtId="0" fontId="0" fillId="0" borderId="6" xfId="0" applyBorder="1"/>
    <xf numFmtId="2" fontId="0" fillId="0" borderId="0" xfId="0" applyNumberFormat="1"/>
    <xf numFmtId="0" fontId="4" fillId="0" borderId="0" xfId="0" applyFont="1" applyAlignment="1">
      <alignment horizontal="right"/>
    </xf>
    <xf numFmtId="0" fontId="5" fillId="0" borderId="0" xfId="0" applyFont="1"/>
    <xf numFmtId="2" fontId="5" fillId="0" borderId="0" xfId="0" applyNumberFormat="1" applyFont="1"/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3" xfId="0" applyFont="1" applyBorder="1" applyAlignment="1">
      <alignment wrapText="1"/>
    </xf>
    <xf numFmtId="164" fontId="0" fillId="0" borderId="4" xfId="0" applyNumberFormat="1" applyBorder="1"/>
    <xf numFmtId="164" fontId="0" fillId="0" borderId="1" xfId="0" applyNumberFormat="1" applyBorder="1"/>
    <xf numFmtId="164" fontId="0" fillId="0" borderId="7" xfId="0" applyNumberFormat="1" applyBorder="1"/>
    <xf numFmtId="164" fontId="4" fillId="0" borderId="4" xfId="0" applyNumberFormat="1" applyFont="1" applyBorder="1"/>
    <xf numFmtId="0" fontId="1" fillId="0" borderId="0" xfId="0" applyFont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8" xfId="0" applyBorder="1"/>
    <xf numFmtId="0" fontId="1" fillId="9" borderId="17" xfId="0" applyFont="1" applyFill="1" applyBorder="1" applyAlignment="1">
      <alignment wrapText="1"/>
    </xf>
    <xf numFmtId="0" fontId="4" fillId="0" borderId="19" xfId="0" applyFont="1" applyBorder="1" applyAlignment="1">
      <alignment horizontal="center"/>
    </xf>
    <xf numFmtId="0" fontId="1" fillId="0" borderId="19" xfId="0" applyFont="1" applyBorder="1" applyAlignment="1">
      <alignment horizontal="center" wrapText="1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4" fillId="0" borderId="0" xfId="0" applyNumberFormat="1" applyFont="1"/>
    <xf numFmtId="164" fontId="0" fillId="0" borderId="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1" fillId="0" borderId="18" xfId="0" applyFont="1" applyBorder="1" applyAlignment="1">
      <alignment horizontal="center" wrapText="1"/>
    </xf>
    <xf numFmtId="164" fontId="0" fillId="0" borderId="13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2" xfId="0" applyFont="1" applyBorder="1" applyAlignment="1">
      <alignment horizontal="center" vertical="center"/>
    </xf>
    <xf numFmtId="2" fontId="0" fillId="0" borderId="25" xfId="0" applyNumberFormat="1" applyBorder="1"/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0" fillId="0" borderId="27" xfId="0" applyBorder="1"/>
    <xf numFmtId="2" fontId="0" fillId="0" borderId="27" xfId="0" applyNumberFormat="1" applyBorder="1"/>
    <xf numFmtId="0" fontId="0" fillId="0" borderId="26" xfId="0" applyBorder="1" applyAlignment="1">
      <alignment horizontal="center" vertical="center"/>
    </xf>
    <xf numFmtId="164" fontId="0" fillId="0" borderId="5" xfId="0" applyNumberFormat="1" applyBorder="1"/>
    <xf numFmtId="0" fontId="4" fillId="0" borderId="30" xfId="0" applyFont="1" applyBorder="1" applyAlignment="1">
      <alignment horizontal="right"/>
    </xf>
    <xf numFmtId="0" fontId="4" fillId="0" borderId="31" xfId="0" applyFont="1" applyBorder="1" applyAlignment="1">
      <alignment horizontal="right"/>
    </xf>
    <xf numFmtId="0" fontId="0" fillId="0" borderId="32" xfId="0" applyBorder="1"/>
    <xf numFmtId="0" fontId="0" fillId="0" borderId="33" xfId="0" applyBorder="1"/>
    <xf numFmtId="164" fontId="0" fillId="0" borderId="2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right" vertical="center" wrapText="1"/>
    </xf>
    <xf numFmtId="0" fontId="1" fillId="0" borderId="3" xfId="0" applyFont="1" applyBorder="1" applyAlignment="1">
      <alignment horizontal="right" vertical="center" wrapText="1"/>
    </xf>
    <xf numFmtId="0" fontId="4" fillId="0" borderId="0" xfId="0" applyFont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4" fillId="0" borderId="29" xfId="0" applyFont="1" applyBorder="1" applyAlignment="1">
      <alignment horizontal="right"/>
    </xf>
    <xf numFmtId="0" fontId="4" fillId="0" borderId="28" xfId="0" applyFont="1" applyBorder="1" applyAlignment="1">
      <alignment horizontal="right"/>
    </xf>
  </cellXfs>
  <cellStyles count="1">
    <cellStyle name="Normal" xfId="0" builtinId="0"/>
  </cellStyles>
  <dxfs count="10"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3A58D"/>
        </patternFill>
      </fill>
    </dxf>
    <dxf>
      <fill>
        <patternFill>
          <bgColor rgb="FFB8ECFA"/>
        </patternFill>
      </fill>
    </dxf>
    <dxf>
      <fill>
        <patternFill>
          <bgColor rgb="FFB8ECFA"/>
        </patternFill>
      </fill>
    </dxf>
    <dxf>
      <fill>
        <patternFill>
          <bgColor rgb="FFF3A58D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B8ECFA"/>
      <color rgb="FF99E2F9"/>
      <color rgb="FFF3A58D"/>
      <color rgb="FFFFB3B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335280</xdr:colOff>
          <xdr:row>5</xdr:row>
          <xdr:rowOff>106680</xdr:rowOff>
        </xdr:from>
        <xdr:to>
          <xdr:col>9</xdr:col>
          <xdr:colOff>297180</xdr:colOff>
          <xdr:row>7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5</xdr:row>
          <xdr:rowOff>114300</xdr:rowOff>
        </xdr:from>
        <xdr:to>
          <xdr:col>9</xdr:col>
          <xdr:colOff>274320</xdr:colOff>
          <xdr:row>7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10"/>
  <sheetViews>
    <sheetView tabSelected="1" workbookViewId="0">
      <pane ySplit="4" topLeftCell="A5" activePane="bottomLeft" state="frozen"/>
      <selection pane="bottomLeft" activeCell="K3" sqref="K3:L3"/>
    </sheetView>
  </sheetViews>
  <sheetFormatPr defaultRowHeight="14.4" x14ac:dyDescent="0.3"/>
  <cols>
    <col min="1" max="1" width="11.88671875" customWidth="1"/>
    <col min="2" max="2" width="15" customWidth="1"/>
    <col min="3" max="3" width="5.109375" customWidth="1"/>
    <col min="4" max="7" width="14.44140625" customWidth="1"/>
    <col min="11" max="11" width="20.5546875" customWidth="1"/>
    <col min="12" max="12" width="17.88671875" customWidth="1"/>
    <col min="13" max="15" width="13.33203125" customWidth="1"/>
  </cols>
  <sheetData>
    <row r="1" spans="1:18" x14ac:dyDescent="0.3">
      <c r="A1" s="16" t="s">
        <v>0</v>
      </c>
      <c r="B1" s="62"/>
      <c r="C1" s="63"/>
      <c r="D1" s="63"/>
      <c r="E1" s="63"/>
      <c r="F1" s="63"/>
      <c r="G1" s="16" t="s">
        <v>1</v>
      </c>
      <c r="H1" s="64"/>
      <c r="I1" s="63"/>
      <c r="J1" s="63"/>
      <c r="K1" s="65" t="s">
        <v>2</v>
      </c>
      <c r="L1" s="63"/>
      <c r="M1" s="62"/>
      <c r="N1" s="63"/>
    </row>
    <row r="2" spans="1:18" x14ac:dyDescent="0.3">
      <c r="A2" s="16" t="s">
        <v>3</v>
      </c>
      <c r="B2" s="62"/>
      <c r="C2" s="63"/>
      <c r="D2" s="63"/>
      <c r="E2" s="63"/>
      <c r="F2" s="63"/>
      <c r="G2" s="16" t="s">
        <v>4</v>
      </c>
      <c r="H2" s="64"/>
      <c r="I2" s="63"/>
      <c r="J2" s="63"/>
      <c r="K2" s="65" t="s">
        <v>5</v>
      </c>
      <c r="L2" s="63"/>
      <c r="M2" s="62">
        <v>30</v>
      </c>
      <c r="N2" s="63"/>
    </row>
    <row r="3" spans="1:18" x14ac:dyDescent="0.3">
      <c r="A3" s="16" t="s">
        <v>6</v>
      </c>
      <c r="B3" s="62"/>
      <c r="C3" s="63"/>
      <c r="D3" s="63"/>
      <c r="E3" s="63"/>
      <c r="F3" s="63"/>
      <c r="G3" s="16" t="s">
        <v>7</v>
      </c>
      <c r="H3" s="64"/>
      <c r="I3" s="63"/>
      <c r="J3" s="63"/>
      <c r="K3" s="65" t="s">
        <v>38</v>
      </c>
      <c r="L3" s="63"/>
      <c r="M3" s="62"/>
      <c r="N3" s="63"/>
    </row>
    <row r="4" spans="1:18" s="2" customFormat="1" ht="18.600000000000001" customHeight="1" x14ac:dyDescent="0.3">
      <c r="A4" s="50" t="s">
        <v>8</v>
      </c>
      <c r="B4" s="1" t="s">
        <v>9</v>
      </c>
      <c r="C4" s="1" t="s">
        <v>10</v>
      </c>
      <c r="D4" s="1" t="s">
        <v>11</v>
      </c>
      <c r="E4" s="50" t="s">
        <v>12</v>
      </c>
      <c r="F4" s="1" t="s">
        <v>13</v>
      </c>
      <c r="G4" s="50" t="s">
        <v>14</v>
      </c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8" x14ac:dyDescent="0.3">
      <c r="B5" s="51"/>
      <c r="C5" s="51"/>
      <c r="D5" s="52"/>
      <c r="E5" s="15"/>
      <c r="F5" s="52"/>
      <c r="G5" t="s">
        <v>30</v>
      </c>
      <c r="R5" s="51"/>
    </row>
    <row r="6" spans="1:18" x14ac:dyDescent="0.3">
      <c r="D6" s="15"/>
      <c r="E6" s="15"/>
      <c r="F6" s="15"/>
    </row>
    <row r="7" spans="1:18" x14ac:dyDescent="0.3">
      <c r="D7" s="15"/>
      <c r="E7" s="15"/>
      <c r="F7" s="15"/>
    </row>
    <row r="8" spans="1:18" ht="15" customHeight="1" thickBot="1" x14ac:dyDescent="0.35">
      <c r="D8" s="15"/>
      <c r="E8" s="15"/>
      <c r="F8" s="15"/>
      <c r="K8" s="21" t="s">
        <v>32</v>
      </c>
      <c r="L8" s="10">
        <f>M2</f>
        <v>30</v>
      </c>
    </row>
    <row r="9" spans="1:18" ht="15" customHeight="1" thickTop="1" x14ac:dyDescent="0.3">
      <c r="D9" s="15"/>
      <c r="E9" s="15"/>
      <c r="F9" s="15"/>
      <c r="K9" s="3" t="s">
        <v>16</v>
      </c>
      <c r="L9" s="20">
        <f>SUM(E4:E32)</f>
        <v>0</v>
      </c>
    </row>
    <row r="10" spans="1:18" x14ac:dyDescent="0.3">
      <c r="D10" s="15"/>
      <c r="E10" s="15"/>
      <c r="F10" s="15"/>
      <c r="K10" s="4" t="s">
        <v>17</v>
      </c>
      <c r="L10" s="20">
        <f>(L9*L8)/100</f>
        <v>0</v>
      </c>
    </row>
    <row r="11" spans="1:18" x14ac:dyDescent="0.3">
      <c r="D11" s="15"/>
      <c r="E11" s="15"/>
      <c r="F11" s="15"/>
      <c r="K11" s="3" t="s">
        <v>18</v>
      </c>
      <c r="L11" s="20">
        <f>L9-L10</f>
        <v>0</v>
      </c>
    </row>
    <row r="12" spans="1:18" x14ac:dyDescent="0.3">
      <c r="D12" s="15"/>
      <c r="E12" s="15"/>
      <c r="F12" s="15"/>
      <c r="K12" s="3" t="s">
        <v>19</v>
      </c>
      <c r="L12" s="20">
        <f t="shared" ref="L12:L13" si="0">L10-L11</f>
        <v>0</v>
      </c>
    </row>
    <row r="13" spans="1:18" x14ac:dyDescent="0.3">
      <c r="D13" s="15"/>
      <c r="E13" s="15"/>
      <c r="F13" s="15"/>
      <c r="K13" s="3" t="s">
        <v>20</v>
      </c>
      <c r="L13" s="20">
        <f t="shared" si="0"/>
        <v>0</v>
      </c>
    </row>
    <row r="14" spans="1:18" x14ac:dyDescent="0.3">
      <c r="D14" s="15"/>
      <c r="E14" s="15"/>
      <c r="F14" s="15"/>
      <c r="K14" s="3" t="s">
        <v>21</v>
      </c>
      <c r="L14" s="20">
        <f>SUM(F4:F32)</f>
        <v>0</v>
      </c>
    </row>
    <row r="15" spans="1:18" ht="15" customHeight="1" thickBot="1" x14ac:dyDescent="0.35">
      <c r="D15" s="15"/>
      <c r="E15" s="15"/>
      <c r="F15" s="15"/>
      <c r="K15" s="9" t="s">
        <v>22</v>
      </c>
      <c r="L15" s="20">
        <f>((L11+L12+L13+L14)*18)/100</f>
        <v>0</v>
      </c>
    </row>
    <row r="16" spans="1:18" ht="15" customHeight="1" thickTop="1" x14ac:dyDescent="0.3">
      <c r="D16" s="15"/>
      <c r="E16" s="15"/>
      <c r="F16" s="15"/>
      <c r="K16" s="11" t="s">
        <v>23</v>
      </c>
      <c r="L16" s="25">
        <f>L11+L12+L13+L14+L15</f>
        <v>0</v>
      </c>
      <c r="M16" s="36"/>
    </row>
    <row r="17" spans="4:15" x14ac:dyDescent="0.3">
      <c r="D17" s="15"/>
      <c r="E17" s="15"/>
      <c r="F17" s="15"/>
      <c r="K17" s="5" t="s">
        <v>24</v>
      </c>
      <c r="L17" s="23">
        <f>L9+L12+L13+L14+(((L9+L12+L13+L14)*18)/100)</f>
        <v>0</v>
      </c>
    </row>
    <row r="18" spans="4:15" ht="15" customHeight="1" thickBot="1" x14ac:dyDescent="0.35">
      <c r="D18" s="15"/>
      <c r="E18" s="15"/>
      <c r="F18" s="15"/>
      <c r="K18" s="13" t="s">
        <v>25</v>
      </c>
      <c r="L18" s="24">
        <f>L17-L16</f>
        <v>0</v>
      </c>
    </row>
    <row r="19" spans="4:15" ht="15" customHeight="1" thickTop="1" x14ac:dyDescent="0.3">
      <c r="D19" s="15"/>
      <c r="E19" s="15"/>
      <c r="F19" s="15"/>
      <c r="K19" s="3"/>
      <c r="L19" s="14"/>
    </row>
    <row r="20" spans="4:15" x14ac:dyDescent="0.3">
      <c r="D20" s="15"/>
      <c r="E20" s="15"/>
      <c r="F20" s="15"/>
      <c r="K20" s="66" t="s">
        <v>26</v>
      </c>
      <c r="L20" s="68" t="s">
        <v>42</v>
      </c>
      <c r="M20" s="68"/>
      <c r="N20" s="68"/>
      <c r="O20" s="68"/>
    </row>
    <row r="21" spans="4:15" ht="15" thickBot="1" x14ac:dyDescent="0.35">
      <c r="D21" s="15"/>
      <c r="E21" s="15"/>
      <c r="F21" s="15"/>
      <c r="K21" s="67"/>
      <c r="L21" s="69"/>
      <c r="M21" s="69"/>
      <c r="N21" s="69"/>
      <c r="O21" s="69"/>
    </row>
    <row r="22" spans="4:15" ht="15" customHeight="1" thickTop="1" thickBot="1" x14ac:dyDescent="0.35">
      <c r="D22" s="15"/>
      <c r="E22" s="15"/>
      <c r="F22" s="15"/>
      <c r="J22" s="29"/>
      <c r="K22" s="9"/>
      <c r="L22" s="31" t="s">
        <v>36</v>
      </c>
      <c r="M22" s="27" t="s">
        <v>33</v>
      </c>
      <c r="N22" s="26" t="s">
        <v>34</v>
      </c>
      <c r="O22" s="32" t="s">
        <v>35</v>
      </c>
    </row>
    <row r="23" spans="4:15" ht="15" customHeight="1" thickTop="1" x14ac:dyDescent="0.3">
      <c r="D23" s="15"/>
      <c r="E23" s="15"/>
      <c r="F23" s="15"/>
      <c r="J23" s="29"/>
      <c r="K23" s="12" t="s">
        <v>27</v>
      </c>
      <c r="L23" s="33">
        <f>'1st LOT'!L14</f>
        <v>0</v>
      </c>
      <c r="M23" s="59">
        <f>L16</f>
        <v>0</v>
      </c>
      <c r="N23" s="38" t="s">
        <v>43</v>
      </c>
      <c r="O23" s="42" t="s">
        <v>43</v>
      </c>
    </row>
    <row r="24" spans="4:15" x14ac:dyDescent="0.3">
      <c r="D24" s="15"/>
      <c r="E24" s="15"/>
      <c r="F24" s="15"/>
      <c r="J24" s="29"/>
      <c r="K24" s="6" t="s">
        <v>28</v>
      </c>
      <c r="L24" s="34">
        <f>'2nd LOT'!L14</f>
        <v>0</v>
      </c>
      <c r="M24" s="60"/>
      <c r="N24" s="37" t="s">
        <v>43</v>
      </c>
      <c r="O24" s="41" t="s">
        <v>43</v>
      </c>
    </row>
    <row r="25" spans="4:15" ht="15" thickBot="1" x14ac:dyDescent="0.35">
      <c r="D25" s="15"/>
      <c r="E25" s="15"/>
      <c r="F25" s="15"/>
      <c r="J25" s="29"/>
      <c r="K25" s="7" t="s">
        <v>29</v>
      </c>
      <c r="L25" s="34">
        <f>'3rd LOT'!L14</f>
        <v>0</v>
      </c>
      <c r="M25" s="61"/>
      <c r="N25" s="39" t="s">
        <v>43</v>
      </c>
      <c r="O25" s="40" t="s">
        <v>43</v>
      </c>
    </row>
    <row r="26" spans="4:15" ht="15" thickTop="1" x14ac:dyDescent="0.3">
      <c r="D26" s="15"/>
      <c r="E26" s="15"/>
      <c r="F26" s="15"/>
      <c r="J26" s="29"/>
      <c r="K26" s="8" t="s">
        <v>30</v>
      </c>
      <c r="L26" s="44">
        <f>'ON HOLD'!L14</f>
        <v>0</v>
      </c>
      <c r="M26" s="28"/>
      <c r="N26" s="19"/>
      <c r="O26" s="19"/>
    </row>
    <row r="27" spans="4:15" ht="15" thickBot="1" x14ac:dyDescent="0.35">
      <c r="D27" s="15"/>
      <c r="E27" s="15"/>
      <c r="F27" s="15"/>
      <c r="J27" s="29"/>
      <c r="K27" s="30" t="s">
        <v>31</v>
      </c>
      <c r="L27" s="35">
        <f>CANCELLED!L14</f>
        <v>0</v>
      </c>
      <c r="M27" s="28"/>
      <c r="N27" s="46"/>
      <c r="O27" s="19"/>
    </row>
    <row r="28" spans="4:15" ht="15" thickTop="1" x14ac:dyDescent="0.3">
      <c r="D28" s="15"/>
      <c r="E28" s="15"/>
      <c r="F28" s="15"/>
      <c r="O28" s="20"/>
    </row>
    <row r="29" spans="4:15" x14ac:dyDescent="0.3">
      <c r="D29" s="15"/>
      <c r="E29" s="15"/>
      <c r="F29" s="15"/>
      <c r="N29" s="20"/>
    </row>
    <row r="30" spans="4:15" x14ac:dyDescent="0.3">
      <c r="D30" s="15"/>
      <c r="E30" s="15"/>
      <c r="F30" s="15"/>
    </row>
    <row r="31" spans="4:15" x14ac:dyDescent="0.3">
      <c r="D31" s="15"/>
      <c r="E31" s="15"/>
      <c r="F31" s="15"/>
      <c r="M31" s="20"/>
    </row>
    <row r="32" spans="4:15" x14ac:dyDescent="0.3">
      <c r="D32" s="15"/>
      <c r="E32" s="15"/>
      <c r="F32" s="15"/>
    </row>
    <row r="33" spans="3:6" x14ac:dyDescent="0.3">
      <c r="C33" s="17"/>
      <c r="D33" s="18"/>
      <c r="E33" s="18"/>
      <c r="F33" s="18"/>
    </row>
    <row r="34" spans="3:6" x14ac:dyDescent="0.3">
      <c r="D34" s="15"/>
      <c r="E34" s="15"/>
      <c r="F34" s="15"/>
    </row>
    <row r="35" spans="3:6" x14ac:dyDescent="0.3">
      <c r="D35" s="15"/>
      <c r="E35" s="15"/>
      <c r="F35" s="15"/>
    </row>
    <row r="36" spans="3:6" x14ac:dyDescent="0.3">
      <c r="D36" s="15"/>
      <c r="E36" s="15"/>
      <c r="F36" s="15"/>
    </row>
    <row r="37" spans="3:6" x14ac:dyDescent="0.3">
      <c r="D37" s="15"/>
      <c r="E37" s="15"/>
      <c r="F37" s="15"/>
    </row>
    <row r="38" spans="3:6" x14ac:dyDescent="0.3">
      <c r="D38" s="15"/>
      <c r="E38" s="15"/>
      <c r="F38" s="15"/>
    </row>
    <row r="39" spans="3:6" x14ac:dyDescent="0.3">
      <c r="D39" s="15"/>
      <c r="E39" s="15"/>
      <c r="F39" s="15"/>
    </row>
    <row r="40" spans="3:6" x14ac:dyDescent="0.3">
      <c r="D40" s="15"/>
      <c r="E40" s="15"/>
      <c r="F40" s="15"/>
    </row>
    <row r="41" spans="3:6" x14ac:dyDescent="0.3">
      <c r="D41" s="15"/>
      <c r="E41" s="15"/>
      <c r="F41" s="15"/>
    </row>
    <row r="42" spans="3:6" x14ac:dyDescent="0.3">
      <c r="D42" s="15"/>
      <c r="E42" s="15"/>
      <c r="F42" s="15"/>
    </row>
    <row r="43" spans="3:6" x14ac:dyDescent="0.3">
      <c r="D43" s="15"/>
      <c r="E43" s="15"/>
      <c r="F43" s="15"/>
    </row>
    <row r="44" spans="3:6" x14ac:dyDescent="0.3">
      <c r="D44" s="15"/>
      <c r="E44" s="15"/>
      <c r="F44" s="15"/>
    </row>
    <row r="45" spans="3:6" x14ac:dyDescent="0.3">
      <c r="D45" s="15"/>
      <c r="E45" s="15"/>
      <c r="F45" s="15"/>
    </row>
    <row r="46" spans="3:6" x14ac:dyDescent="0.3">
      <c r="D46" s="15"/>
      <c r="E46" s="15"/>
      <c r="F46" s="15"/>
    </row>
    <row r="47" spans="3:6" x14ac:dyDescent="0.3">
      <c r="D47" s="15"/>
      <c r="E47" s="15"/>
      <c r="F47" s="15"/>
    </row>
    <row r="48" spans="3:6" x14ac:dyDescent="0.3">
      <c r="D48" s="15"/>
      <c r="E48" s="15"/>
      <c r="F48" s="15"/>
    </row>
    <row r="49" spans="4:6" x14ac:dyDescent="0.3">
      <c r="D49" s="15"/>
      <c r="E49" s="15"/>
      <c r="F49" s="15"/>
    </row>
    <row r="50" spans="4:6" x14ac:dyDescent="0.3">
      <c r="D50" s="15"/>
      <c r="E50" s="15"/>
      <c r="F50" s="15"/>
    </row>
    <row r="51" spans="4:6" x14ac:dyDescent="0.3">
      <c r="D51" s="15"/>
      <c r="E51" s="15"/>
      <c r="F51" s="15"/>
    </row>
    <row r="52" spans="4:6" x14ac:dyDescent="0.3">
      <c r="D52" s="15"/>
      <c r="E52" s="15"/>
      <c r="F52" s="15"/>
    </row>
    <row r="53" spans="4:6" x14ac:dyDescent="0.3">
      <c r="D53" s="15"/>
      <c r="E53" s="15"/>
      <c r="F53" s="15"/>
    </row>
    <row r="54" spans="4:6" x14ac:dyDescent="0.3">
      <c r="D54" s="15"/>
      <c r="E54" s="15"/>
      <c r="F54" s="15"/>
    </row>
    <row r="55" spans="4:6" x14ac:dyDescent="0.3">
      <c r="D55" s="15"/>
      <c r="E55" s="15"/>
      <c r="F55" s="15"/>
    </row>
    <row r="56" spans="4:6" x14ac:dyDescent="0.3">
      <c r="D56" s="15"/>
      <c r="E56" s="15"/>
      <c r="F56" s="15"/>
    </row>
    <row r="57" spans="4:6" x14ac:dyDescent="0.3">
      <c r="D57" s="15"/>
      <c r="E57" s="15"/>
      <c r="F57" s="15"/>
    </row>
    <row r="58" spans="4:6" x14ac:dyDescent="0.3">
      <c r="D58" s="15"/>
      <c r="E58" s="15"/>
      <c r="F58" s="15"/>
    </row>
    <row r="59" spans="4:6" x14ac:dyDescent="0.3">
      <c r="D59" s="15"/>
      <c r="E59" s="15"/>
      <c r="F59" s="15"/>
    </row>
    <row r="60" spans="4:6" x14ac:dyDescent="0.3">
      <c r="D60" s="15"/>
      <c r="E60" s="15"/>
      <c r="F60" s="15"/>
    </row>
    <row r="61" spans="4:6" x14ac:dyDescent="0.3">
      <c r="D61" s="15"/>
      <c r="E61" s="15"/>
      <c r="F61" s="15"/>
    </row>
    <row r="62" spans="4:6" x14ac:dyDescent="0.3">
      <c r="D62" s="15"/>
      <c r="E62" s="15"/>
      <c r="F62" s="15"/>
    </row>
    <row r="63" spans="4:6" x14ac:dyDescent="0.3">
      <c r="D63" s="15"/>
      <c r="E63" s="15"/>
      <c r="F63" s="15"/>
    </row>
    <row r="64" spans="4:6" x14ac:dyDescent="0.3">
      <c r="D64" s="15"/>
      <c r="E64" s="15"/>
      <c r="F64" s="15"/>
    </row>
    <row r="65" spans="4:6" x14ac:dyDescent="0.3">
      <c r="D65" s="15"/>
      <c r="E65" s="15"/>
      <c r="F65" s="15"/>
    </row>
    <row r="66" spans="4:6" x14ac:dyDescent="0.3">
      <c r="D66" s="15"/>
      <c r="E66" s="15"/>
      <c r="F66" s="15"/>
    </row>
    <row r="67" spans="4:6" x14ac:dyDescent="0.3">
      <c r="D67" s="15"/>
      <c r="E67" s="15"/>
      <c r="F67" s="15"/>
    </row>
    <row r="68" spans="4:6" x14ac:dyDescent="0.3">
      <c r="D68" s="15"/>
      <c r="E68" s="15"/>
      <c r="F68" s="15"/>
    </row>
    <row r="69" spans="4:6" x14ac:dyDescent="0.3">
      <c r="D69" s="15"/>
      <c r="E69" s="15"/>
      <c r="F69" s="15"/>
    </row>
    <row r="70" spans="4:6" x14ac:dyDescent="0.3">
      <c r="D70" s="15"/>
      <c r="E70" s="15"/>
      <c r="F70" s="15"/>
    </row>
    <row r="71" spans="4:6" x14ac:dyDescent="0.3">
      <c r="D71" s="15"/>
      <c r="E71" s="15"/>
      <c r="F71" s="15"/>
    </row>
    <row r="72" spans="4:6" x14ac:dyDescent="0.3">
      <c r="D72" s="15"/>
      <c r="E72" s="15"/>
      <c r="F72" s="15"/>
    </row>
    <row r="73" spans="4:6" x14ac:dyDescent="0.3">
      <c r="D73" s="15"/>
      <c r="E73" s="15"/>
      <c r="F73" s="15"/>
    </row>
    <row r="74" spans="4:6" x14ac:dyDescent="0.3">
      <c r="D74" s="15"/>
      <c r="E74" s="15"/>
      <c r="F74" s="15"/>
    </row>
    <row r="75" spans="4:6" x14ac:dyDescent="0.3">
      <c r="D75" s="15"/>
      <c r="E75" s="15"/>
      <c r="F75" s="15"/>
    </row>
    <row r="76" spans="4:6" x14ac:dyDescent="0.3">
      <c r="D76" s="15"/>
      <c r="E76" s="15"/>
      <c r="F76" s="15"/>
    </row>
    <row r="77" spans="4:6" x14ac:dyDescent="0.3">
      <c r="D77" s="15"/>
      <c r="E77" s="15"/>
      <c r="F77" s="15"/>
    </row>
    <row r="78" spans="4:6" x14ac:dyDescent="0.3">
      <c r="D78" s="15"/>
      <c r="E78" s="15"/>
      <c r="F78" s="15"/>
    </row>
    <row r="79" spans="4:6" x14ac:dyDescent="0.3">
      <c r="D79" s="15"/>
      <c r="E79" s="15"/>
      <c r="F79" s="15"/>
    </row>
    <row r="80" spans="4:6" x14ac:dyDescent="0.3">
      <c r="D80" s="15"/>
      <c r="E80" s="15"/>
      <c r="F80" s="15"/>
    </row>
    <row r="81" spans="4:6" x14ac:dyDescent="0.3">
      <c r="D81" s="15"/>
      <c r="E81" s="15"/>
      <c r="F81" s="15"/>
    </row>
    <row r="82" spans="4:6" x14ac:dyDescent="0.3">
      <c r="D82" s="15"/>
      <c r="E82" s="15"/>
      <c r="F82" s="15"/>
    </row>
    <row r="83" spans="4:6" x14ac:dyDescent="0.3">
      <c r="D83" s="15"/>
      <c r="E83" s="15"/>
      <c r="F83" s="15"/>
    </row>
    <row r="84" spans="4:6" x14ac:dyDescent="0.3">
      <c r="D84" s="15"/>
      <c r="E84" s="15"/>
      <c r="F84" s="15"/>
    </row>
    <row r="85" spans="4:6" x14ac:dyDescent="0.3">
      <c r="D85" s="15"/>
      <c r="E85" s="15"/>
      <c r="F85" s="15"/>
    </row>
    <row r="86" spans="4:6" x14ac:dyDescent="0.3">
      <c r="D86" s="15"/>
      <c r="E86" s="15"/>
      <c r="F86" s="15"/>
    </row>
    <row r="87" spans="4:6" x14ac:dyDescent="0.3">
      <c r="D87" s="15"/>
      <c r="E87" s="15"/>
      <c r="F87" s="15"/>
    </row>
    <row r="88" spans="4:6" x14ac:dyDescent="0.3">
      <c r="D88" s="15"/>
      <c r="E88" s="15"/>
      <c r="F88" s="15"/>
    </row>
    <row r="89" spans="4:6" x14ac:dyDescent="0.3">
      <c r="D89" s="15"/>
      <c r="E89" s="15"/>
      <c r="F89" s="15"/>
    </row>
    <row r="90" spans="4:6" x14ac:dyDescent="0.3">
      <c r="D90" s="15"/>
      <c r="E90" s="15"/>
      <c r="F90" s="15"/>
    </row>
    <row r="91" spans="4:6" x14ac:dyDescent="0.3">
      <c r="D91" s="15"/>
      <c r="E91" s="15"/>
      <c r="F91" s="15"/>
    </row>
    <row r="92" spans="4:6" x14ac:dyDescent="0.3">
      <c r="D92" s="15"/>
      <c r="E92" s="15"/>
      <c r="F92" s="15"/>
    </row>
    <row r="93" spans="4:6" x14ac:dyDescent="0.3">
      <c r="D93" s="15"/>
      <c r="E93" s="15"/>
      <c r="F93" s="15"/>
    </row>
    <row r="94" spans="4:6" x14ac:dyDescent="0.3">
      <c r="D94" s="15"/>
      <c r="E94" s="15"/>
      <c r="F94" s="15"/>
    </row>
    <row r="95" spans="4:6" x14ac:dyDescent="0.3">
      <c r="D95" s="15"/>
      <c r="E95" s="15"/>
      <c r="F95" s="15"/>
    </row>
    <row r="96" spans="4:6" x14ac:dyDescent="0.3">
      <c r="D96" s="15"/>
      <c r="E96" s="15"/>
      <c r="F96" s="15"/>
    </row>
    <row r="97" spans="4:6" x14ac:dyDescent="0.3">
      <c r="D97" s="15"/>
      <c r="E97" s="15"/>
      <c r="F97" s="15"/>
    </row>
    <row r="98" spans="4:6" x14ac:dyDescent="0.3">
      <c r="D98" s="15"/>
      <c r="E98" s="15"/>
      <c r="F98" s="15"/>
    </row>
    <row r="99" spans="4:6" x14ac:dyDescent="0.3">
      <c r="D99" s="15"/>
      <c r="E99" s="15"/>
      <c r="F99" s="15"/>
    </row>
    <row r="100" spans="4:6" x14ac:dyDescent="0.3">
      <c r="D100" s="15"/>
      <c r="E100" s="15"/>
      <c r="F100" s="15"/>
    </row>
    <row r="101" spans="4:6" x14ac:dyDescent="0.3">
      <c r="D101" s="15"/>
      <c r="E101" s="15"/>
      <c r="F101" s="15"/>
    </row>
    <row r="102" spans="4:6" x14ac:dyDescent="0.3">
      <c r="D102" s="15"/>
      <c r="E102" s="15"/>
      <c r="F102" s="15"/>
    </row>
    <row r="103" spans="4:6" x14ac:dyDescent="0.3">
      <c r="D103" s="15"/>
      <c r="E103" s="15"/>
      <c r="F103" s="15"/>
    </row>
    <row r="104" spans="4:6" x14ac:dyDescent="0.3">
      <c r="D104" s="15"/>
      <c r="E104" s="15"/>
      <c r="F104" s="15"/>
    </row>
    <row r="105" spans="4:6" x14ac:dyDescent="0.3">
      <c r="D105" s="15"/>
      <c r="E105" s="15"/>
      <c r="F105" s="15"/>
    </row>
    <row r="106" spans="4:6" x14ac:dyDescent="0.3">
      <c r="D106" s="15"/>
      <c r="E106" s="15"/>
      <c r="F106" s="15"/>
    </row>
    <row r="107" spans="4:6" x14ac:dyDescent="0.3">
      <c r="D107" s="15"/>
      <c r="E107" s="15"/>
      <c r="F107" s="15"/>
    </row>
    <row r="108" spans="4:6" x14ac:dyDescent="0.3">
      <c r="D108" s="15"/>
      <c r="E108" s="15"/>
      <c r="F108" s="15"/>
    </row>
    <row r="109" spans="4:6" x14ac:dyDescent="0.3">
      <c r="D109" s="15"/>
      <c r="E109" s="15"/>
      <c r="F109" s="15"/>
    </row>
    <row r="110" spans="4:6" x14ac:dyDescent="0.3">
      <c r="D110" s="15"/>
      <c r="E110" s="15"/>
      <c r="F110" s="15"/>
    </row>
    <row r="111" spans="4:6" x14ac:dyDescent="0.3">
      <c r="D111" s="15"/>
      <c r="E111" s="15"/>
      <c r="F111" s="15"/>
    </row>
    <row r="112" spans="4:6" x14ac:dyDescent="0.3">
      <c r="D112" s="15"/>
      <c r="E112" s="15"/>
      <c r="F112" s="15"/>
    </row>
    <row r="113" spans="4:6" x14ac:dyDescent="0.3">
      <c r="D113" s="15"/>
      <c r="E113" s="15"/>
      <c r="F113" s="15"/>
    </row>
    <row r="114" spans="4:6" x14ac:dyDescent="0.3">
      <c r="D114" s="15"/>
      <c r="E114" s="15"/>
      <c r="F114" s="15"/>
    </row>
    <row r="115" spans="4:6" x14ac:dyDescent="0.3">
      <c r="D115" s="15"/>
      <c r="E115" s="15"/>
      <c r="F115" s="15"/>
    </row>
    <row r="116" spans="4:6" x14ac:dyDescent="0.3">
      <c r="D116" s="15"/>
      <c r="E116" s="15"/>
      <c r="F116" s="15"/>
    </row>
    <row r="117" spans="4:6" x14ac:dyDescent="0.3">
      <c r="D117" s="15"/>
      <c r="E117" s="15"/>
      <c r="F117" s="15"/>
    </row>
    <row r="118" spans="4:6" x14ac:dyDescent="0.3">
      <c r="D118" s="15"/>
      <c r="E118" s="15"/>
      <c r="F118" s="15"/>
    </row>
    <row r="119" spans="4:6" x14ac:dyDescent="0.3">
      <c r="D119" s="15"/>
      <c r="E119" s="15"/>
      <c r="F119" s="15"/>
    </row>
    <row r="120" spans="4:6" x14ac:dyDescent="0.3">
      <c r="D120" s="15"/>
      <c r="E120" s="15"/>
      <c r="F120" s="15"/>
    </row>
    <row r="121" spans="4:6" x14ac:dyDescent="0.3">
      <c r="D121" s="15"/>
      <c r="E121" s="15"/>
      <c r="F121" s="15"/>
    </row>
    <row r="122" spans="4:6" x14ac:dyDescent="0.3">
      <c r="D122" s="15"/>
      <c r="E122" s="15"/>
      <c r="F122" s="15"/>
    </row>
    <row r="123" spans="4:6" x14ac:dyDescent="0.3">
      <c r="D123" s="15"/>
      <c r="E123" s="15"/>
      <c r="F123" s="15"/>
    </row>
    <row r="124" spans="4:6" x14ac:dyDescent="0.3">
      <c r="D124" s="15"/>
      <c r="E124" s="15"/>
      <c r="F124" s="15"/>
    </row>
    <row r="125" spans="4:6" x14ac:dyDescent="0.3">
      <c r="D125" s="15"/>
      <c r="E125" s="15"/>
      <c r="F125" s="15"/>
    </row>
    <row r="126" spans="4:6" x14ac:dyDescent="0.3">
      <c r="D126" s="15"/>
      <c r="E126" s="15"/>
      <c r="F126" s="15"/>
    </row>
    <row r="127" spans="4:6" x14ac:dyDescent="0.3">
      <c r="D127" s="15"/>
      <c r="E127" s="15"/>
      <c r="F127" s="15"/>
    </row>
    <row r="128" spans="4:6" x14ac:dyDescent="0.3">
      <c r="D128" s="15"/>
      <c r="E128" s="15"/>
      <c r="F128" s="15"/>
    </row>
    <row r="129" spans="4:6" x14ac:dyDescent="0.3">
      <c r="D129" s="15"/>
      <c r="E129" s="15"/>
      <c r="F129" s="15"/>
    </row>
    <row r="130" spans="4:6" x14ac:dyDescent="0.3">
      <c r="D130" s="15"/>
      <c r="E130" s="15"/>
      <c r="F130" s="15"/>
    </row>
    <row r="131" spans="4:6" x14ac:dyDescent="0.3">
      <c r="D131" s="15"/>
      <c r="E131" s="15"/>
      <c r="F131" s="15"/>
    </row>
    <row r="132" spans="4:6" x14ac:dyDescent="0.3">
      <c r="D132" s="15"/>
      <c r="E132" s="15"/>
      <c r="F132" s="15"/>
    </row>
    <row r="133" spans="4:6" x14ac:dyDescent="0.3">
      <c r="D133" s="15"/>
      <c r="E133" s="15"/>
      <c r="F133" s="15"/>
    </row>
    <row r="134" spans="4:6" x14ac:dyDescent="0.3">
      <c r="D134" s="15"/>
      <c r="E134" s="15"/>
      <c r="F134" s="15"/>
    </row>
    <row r="135" spans="4:6" x14ac:dyDescent="0.3">
      <c r="D135" s="15"/>
      <c r="E135" s="15"/>
      <c r="F135" s="15"/>
    </row>
    <row r="136" spans="4:6" x14ac:dyDescent="0.3">
      <c r="D136" s="15"/>
      <c r="E136" s="15"/>
      <c r="F136" s="15"/>
    </row>
    <row r="137" spans="4:6" x14ac:dyDescent="0.3">
      <c r="D137" s="15"/>
      <c r="E137" s="15"/>
      <c r="F137" s="15"/>
    </row>
    <row r="138" spans="4:6" x14ac:dyDescent="0.3">
      <c r="D138" s="15"/>
      <c r="E138" s="15"/>
      <c r="F138" s="15"/>
    </row>
    <row r="139" spans="4:6" x14ac:dyDescent="0.3">
      <c r="D139" s="15"/>
      <c r="E139" s="15"/>
      <c r="F139" s="15"/>
    </row>
    <row r="140" spans="4:6" x14ac:dyDescent="0.3">
      <c r="D140" s="15"/>
      <c r="E140" s="15"/>
      <c r="F140" s="15"/>
    </row>
    <row r="141" spans="4:6" x14ac:dyDescent="0.3">
      <c r="D141" s="15"/>
      <c r="E141" s="15"/>
      <c r="F141" s="15"/>
    </row>
    <row r="142" spans="4:6" x14ac:dyDescent="0.3">
      <c r="D142" s="15"/>
      <c r="E142" s="15"/>
      <c r="F142" s="15"/>
    </row>
    <row r="143" spans="4:6" x14ac:dyDescent="0.3">
      <c r="D143" s="15"/>
      <c r="E143" s="15"/>
      <c r="F143" s="15"/>
    </row>
    <row r="144" spans="4:6" x14ac:dyDescent="0.3">
      <c r="D144" s="15"/>
      <c r="E144" s="15"/>
      <c r="F144" s="15"/>
    </row>
    <row r="145" spans="4:6" x14ac:dyDescent="0.3">
      <c r="D145" s="15"/>
      <c r="E145" s="15"/>
      <c r="F145" s="15"/>
    </row>
    <row r="146" spans="4:6" x14ac:dyDescent="0.3">
      <c r="D146" s="15"/>
      <c r="E146" s="15"/>
      <c r="F146" s="15"/>
    </row>
    <row r="147" spans="4:6" x14ac:dyDescent="0.3">
      <c r="D147" s="15"/>
      <c r="E147" s="15"/>
      <c r="F147" s="15"/>
    </row>
    <row r="148" spans="4:6" x14ac:dyDescent="0.3">
      <c r="D148" s="15"/>
      <c r="E148" s="15"/>
      <c r="F148" s="15"/>
    </row>
    <row r="149" spans="4:6" x14ac:dyDescent="0.3">
      <c r="D149" s="15"/>
      <c r="E149" s="15"/>
      <c r="F149" s="15"/>
    </row>
    <row r="150" spans="4:6" x14ac:dyDescent="0.3">
      <c r="D150" s="15"/>
      <c r="E150" s="15"/>
      <c r="F150" s="15"/>
    </row>
    <row r="151" spans="4:6" x14ac:dyDescent="0.3">
      <c r="D151" s="15"/>
      <c r="E151" s="15"/>
      <c r="F151" s="15"/>
    </row>
    <row r="152" spans="4:6" x14ac:dyDescent="0.3">
      <c r="D152" s="15"/>
      <c r="E152" s="15"/>
      <c r="F152" s="15"/>
    </row>
    <row r="153" spans="4:6" x14ac:dyDescent="0.3">
      <c r="D153" s="15"/>
      <c r="E153" s="15"/>
      <c r="F153" s="15"/>
    </row>
    <row r="154" spans="4:6" x14ac:dyDescent="0.3">
      <c r="D154" s="15"/>
      <c r="E154" s="15"/>
      <c r="F154" s="15"/>
    </row>
    <row r="155" spans="4:6" x14ac:dyDescent="0.3">
      <c r="D155" s="15"/>
      <c r="E155" s="15"/>
      <c r="F155" s="15"/>
    </row>
    <row r="156" spans="4:6" x14ac:dyDescent="0.3">
      <c r="D156" s="15"/>
      <c r="E156" s="15"/>
      <c r="F156" s="15"/>
    </row>
    <row r="157" spans="4:6" x14ac:dyDescent="0.3">
      <c r="D157" s="15"/>
      <c r="E157" s="15"/>
      <c r="F157" s="15"/>
    </row>
    <row r="158" spans="4:6" x14ac:dyDescent="0.3">
      <c r="D158" s="15"/>
      <c r="E158" s="15"/>
      <c r="F158" s="15"/>
    </row>
    <row r="159" spans="4:6" x14ac:dyDescent="0.3">
      <c r="D159" s="15"/>
      <c r="E159" s="15"/>
      <c r="F159" s="15"/>
    </row>
    <row r="160" spans="4:6" x14ac:dyDescent="0.3">
      <c r="D160" s="15"/>
      <c r="E160" s="15"/>
      <c r="F160" s="15"/>
    </row>
    <row r="161" spans="4:6" x14ac:dyDescent="0.3">
      <c r="D161" s="15"/>
      <c r="E161" s="15"/>
      <c r="F161" s="15"/>
    </row>
    <row r="162" spans="4:6" x14ac:dyDescent="0.3">
      <c r="D162" s="15"/>
      <c r="E162" s="15"/>
      <c r="F162" s="15"/>
    </row>
    <row r="163" spans="4:6" x14ac:dyDescent="0.3">
      <c r="D163" s="15"/>
      <c r="E163" s="15"/>
      <c r="F163" s="15"/>
    </row>
    <row r="164" spans="4:6" x14ac:dyDescent="0.3">
      <c r="D164" s="15"/>
      <c r="E164" s="15"/>
      <c r="F164" s="15"/>
    </row>
    <row r="165" spans="4:6" x14ac:dyDescent="0.3">
      <c r="D165" s="15"/>
      <c r="E165" s="15"/>
      <c r="F165" s="15"/>
    </row>
    <row r="166" spans="4:6" x14ac:dyDescent="0.3">
      <c r="D166" s="15"/>
      <c r="E166" s="15"/>
      <c r="F166" s="15"/>
    </row>
    <row r="167" spans="4:6" x14ac:dyDescent="0.3">
      <c r="D167" s="15"/>
      <c r="E167" s="15"/>
      <c r="F167" s="15"/>
    </row>
    <row r="168" spans="4:6" x14ac:dyDescent="0.3">
      <c r="D168" s="15"/>
      <c r="E168" s="15"/>
      <c r="F168" s="15"/>
    </row>
    <row r="169" spans="4:6" x14ac:dyDescent="0.3">
      <c r="D169" s="15"/>
      <c r="E169" s="15"/>
      <c r="F169" s="15"/>
    </row>
    <row r="170" spans="4:6" x14ac:dyDescent="0.3">
      <c r="D170" s="15"/>
      <c r="E170" s="15"/>
      <c r="F170" s="15"/>
    </row>
    <row r="171" spans="4:6" x14ac:dyDescent="0.3">
      <c r="D171" s="15"/>
      <c r="E171" s="15"/>
      <c r="F171" s="15"/>
    </row>
    <row r="172" spans="4:6" x14ac:dyDescent="0.3">
      <c r="D172" s="15"/>
      <c r="E172" s="15"/>
      <c r="F172" s="15"/>
    </row>
    <row r="173" spans="4:6" x14ac:dyDescent="0.3">
      <c r="D173" s="15"/>
      <c r="E173" s="15"/>
      <c r="F173" s="15"/>
    </row>
    <row r="174" spans="4:6" x14ac:dyDescent="0.3">
      <c r="D174" s="15"/>
      <c r="E174" s="15"/>
      <c r="F174" s="15"/>
    </row>
    <row r="175" spans="4:6" x14ac:dyDescent="0.3">
      <c r="D175" s="15"/>
      <c r="E175" s="15"/>
      <c r="F175" s="15"/>
    </row>
    <row r="176" spans="4:6" x14ac:dyDescent="0.3">
      <c r="D176" s="15"/>
      <c r="E176" s="15"/>
      <c r="F176" s="15"/>
    </row>
    <row r="177" spans="4:6" x14ac:dyDescent="0.3">
      <c r="D177" s="15"/>
      <c r="E177" s="15"/>
      <c r="F177" s="15"/>
    </row>
    <row r="178" spans="4:6" x14ac:dyDescent="0.3">
      <c r="D178" s="15"/>
      <c r="E178" s="15"/>
      <c r="F178" s="15"/>
    </row>
    <row r="179" spans="4:6" x14ac:dyDescent="0.3">
      <c r="D179" s="15"/>
      <c r="E179" s="15"/>
      <c r="F179" s="15"/>
    </row>
    <row r="180" spans="4:6" x14ac:dyDescent="0.3">
      <c r="D180" s="15"/>
      <c r="E180" s="15"/>
      <c r="F180" s="15"/>
    </row>
    <row r="181" spans="4:6" x14ac:dyDescent="0.3">
      <c r="D181" s="15"/>
      <c r="E181" s="15"/>
      <c r="F181" s="15"/>
    </row>
    <row r="182" spans="4:6" x14ac:dyDescent="0.3">
      <c r="D182" s="15"/>
      <c r="E182" s="15"/>
      <c r="F182" s="15"/>
    </row>
    <row r="183" spans="4:6" x14ac:dyDescent="0.3">
      <c r="D183" s="15"/>
      <c r="E183" s="15"/>
      <c r="F183" s="15"/>
    </row>
    <row r="184" spans="4:6" x14ac:dyDescent="0.3">
      <c r="D184" s="15"/>
      <c r="E184" s="15"/>
      <c r="F184" s="15"/>
    </row>
    <row r="185" spans="4:6" x14ac:dyDescent="0.3">
      <c r="D185" s="15"/>
      <c r="E185" s="15"/>
      <c r="F185" s="15"/>
    </row>
    <row r="186" spans="4:6" x14ac:dyDescent="0.3">
      <c r="D186" s="15"/>
      <c r="E186" s="15"/>
      <c r="F186" s="15"/>
    </row>
    <row r="187" spans="4:6" x14ac:dyDescent="0.3">
      <c r="D187" s="15"/>
      <c r="E187" s="15"/>
      <c r="F187" s="15"/>
    </row>
    <row r="188" spans="4:6" x14ac:dyDescent="0.3">
      <c r="D188" s="15"/>
      <c r="E188" s="15"/>
      <c r="F188" s="15"/>
    </row>
    <row r="189" spans="4:6" x14ac:dyDescent="0.3">
      <c r="D189" s="15"/>
      <c r="E189" s="15"/>
      <c r="F189" s="15"/>
    </row>
    <row r="190" spans="4:6" x14ac:dyDescent="0.3">
      <c r="D190" s="15"/>
      <c r="E190" s="15"/>
      <c r="F190" s="15"/>
    </row>
    <row r="191" spans="4:6" x14ac:dyDescent="0.3">
      <c r="D191" s="15"/>
      <c r="E191" s="15"/>
      <c r="F191" s="15"/>
    </row>
    <row r="192" spans="4:6" x14ac:dyDescent="0.3">
      <c r="D192" s="15"/>
      <c r="E192" s="15"/>
      <c r="F192" s="15"/>
    </row>
    <row r="193" spans="4:6" x14ac:dyDescent="0.3">
      <c r="D193" s="15"/>
      <c r="E193" s="15"/>
      <c r="F193" s="15"/>
    </row>
    <row r="194" spans="4:6" x14ac:dyDescent="0.3">
      <c r="D194" s="15"/>
      <c r="E194" s="15"/>
      <c r="F194" s="15"/>
    </row>
    <row r="195" spans="4:6" x14ac:dyDescent="0.3">
      <c r="D195" s="15"/>
      <c r="E195" s="15"/>
      <c r="F195" s="15"/>
    </row>
    <row r="196" spans="4:6" x14ac:dyDescent="0.3">
      <c r="D196" s="15"/>
      <c r="E196" s="15"/>
      <c r="F196" s="15"/>
    </row>
    <row r="197" spans="4:6" x14ac:dyDescent="0.3">
      <c r="D197" s="15"/>
      <c r="E197" s="15"/>
      <c r="F197" s="15"/>
    </row>
    <row r="198" spans="4:6" x14ac:dyDescent="0.3">
      <c r="D198" s="15"/>
      <c r="E198" s="15"/>
      <c r="F198" s="15"/>
    </row>
    <row r="199" spans="4:6" x14ac:dyDescent="0.3">
      <c r="D199" s="15"/>
      <c r="E199" s="15"/>
      <c r="F199" s="15"/>
    </row>
    <row r="200" spans="4:6" x14ac:dyDescent="0.3">
      <c r="D200" s="15"/>
      <c r="E200" s="15"/>
      <c r="F200" s="15"/>
    </row>
    <row r="201" spans="4:6" x14ac:dyDescent="0.3">
      <c r="D201" s="15"/>
      <c r="E201" s="15"/>
      <c r="F201" s="15"/>
    </row>
    <row r="202" spans="4:6" x14ac:dyDescent="0.3">
      <c r="D202" s="15"/>
      <c r="E202" s="15"/>
      <c r="F202" s="15"/>
    </row>
    <row r="203" spans="4:6" x14ac:dyDescent="0.3">
      <c r="D203" s="15"/>
      <c r="E203" s="15"/>
      <c r="F203" s="15"/>
    </row>
    <row r="204" spans="4:6" x14ac:dyDescent="0.3">
      <c r="D204" s="15"/>
      <c r="E204" s="15"/>
      <c r="F204" s="15"/>
    </row>
    <row r="205" spans="4:6" x14ac:dyDescent="0.3">
      <c r="D205" s="15"/>
      <c r="E205" s="15"/>
      <c r="F205" s="15"/>
    </row>
    <row r="206" spans="4:6" x14ac:dyDescent="0.3">
      <c r="D206" s="15"/>
      <c r="E206" s="15"/>
      <c r="F206" s="15"/>
    </row>
    <row r="207" spans="4:6" x14ac:dyDescent="0.3">
      <c r="D207" s="15"/>
      <c r="E207" s="15"/>
      <c r="F207" s="15"/>
    </row>
    <row r="208" spans="4:6" x14ac:dyDescent="0.3">
      <c r="D208" s="15"/>
      <c r="E208" s="15"/>
      <c r="F208" s="15"/>
    </row>
    <row r="209" spans="4:6" x14ac:dyDescent="0.3">
      <c r="D209" s="15"/>
      <c r="E209" s="15"/>
      <c r="F209" s="15"/>
    </row>
    <row r="210" spans="4:6" x14ac:dyDescent="0.3">
      <c r="D210" s="15"/>
      <c r="E210" s="15"/>
      <c r="F210" s="15"/>
    </row>
    <row r="211" spans="4:6" x14ac:dyDescent="0.3">
      <c r="D211" s="15"/>
      <c r="E211" s="15"/>
      <c r="F211" s="15"/>
    </row>
    <row r="212" spans="4:6" x14ac:dyDescent="0.3">
      <c r="D212" s="15"/>
      <c r="E212" s="15"/>
      <c r="F212" s="15"/>
    </row>
    <row r="213" spans="4:6" x14ac:dyDescent="0.3">
      <c r="D213" s="15"/>
      <c r="E213" s="15"/>
      <c r="F213" s="15"/>
    </row>
    <row r="214" spans="4:6" x14ac:dyDescent="0.3">
      <c r="D214" s="15"/>
      <c r="E214" s="15"/>
      <c r="F214" s="15"/>
    </row>
    <row r="215" spans="4:6" x14ac:dyDescent="0.3">
      <c r="D215" s="15"/>
      <c r="E215" s="15"/>
      <c r="F215" s="15"/>
    </row>
    <row r="216" spans="4:6" x14ac:dyDescent="0.3">
      <c r="D216" s="15"/>
      <c r="E216" s="15"/>
      <c r="F216" s="15"/>
    </row>
    <row r="217" spans="4:6" x14ac:dyDescent="0.3">
      <c r="D217" s="15"/>
      <c r="E217" s="15"/>
      <c r="F217" s="15"/>
    </row>
    <row r="218" spans="4:6" x14ac:dyDescent="0.3">
      <c r="D218" s="15"/>
      <c r="E218" s="15"/>
      <c r="F218" s="15"/>
    </row>
    <row r="219" spans="4:6" x14ac:dyDescent="0.3">
      <c r="D219" s="15"/>
      <c r="E219" s="15"/>
      <c r="F219" s="15"/>
    </row>
    <row r="220" spans="4:6" x14ac:dyDescent="0.3">
      <c r="D220" s="15"/>
      <c r="E220" s="15"/>
      <c r="F220" s="15"/>
    </row>
    <row r="221" spans="4:6" x14ac:dyDescent="0.3">
      <c r="D221" s="15"/>
      <c r="E221" s="15"/>
      <c r="F221" s="15"/>
    </row>
    <row r="222" spans="4:6" x14ac:dyDescent="0.3">
      <c r="D222" s="15"/>
      <c r="E222" s="15"/>
      <c r="F222" s="15"/>
    </row>
    <row r="223" spans="4:6" x14ac:dyDescent="0.3">
      <c r="D223" s="15"/>
      <c r="E223" s="15"/>
      <c r="F223" s="15"/>
    </row>
    <row r="224" spans="4:6" x14ac:dyDescent="0.3">
      <c r="D224" s="15"/>
      <c r="E224" s="15"/>
      <c r="F224" s="15"/>
    </row>
    <row r="225" spans="4:6" x14ac:dyDescent="0.3">
      <c r="D225" s="15"/>
      <c r="E225" s="15"/>
      <c r="F225" s="15"/>
    </row>
    <row r="226" spans="4:6" x14ac:dyDescent="0.3">
      <c r="D226" s="15"/>
      <c r="E226" s="15"/>
      <c r="F226" s="15"/>
    </row>
    <row r="227" spans="4:6" x14ac:dyDescent="0.3">
      <c r="D227" s="15"/>
      <c r="E227" s="15"/>
      <c r="F227" s="15"/>
    </row>
    <row r="228" spans="4:6" x14ac:dyDescent="0.3">
      <c r="D228" s="15"/>
      <c r="E228" s="15"/>
      <c r="F228" s="15"/>
    </row>
    <row r="229" spans="4:6" x14ac:dyDescent="0.3">
      <c r="D229" s="15"/>
      <c r="E229" s="15"/>
      <c r="F229" s="15"/>
    </row>
    <row r="230" spans="4:6" x14ac:dyDescent="0.3">
      <c r="D230" s="15"/>
      <c r="E230" s="15"/>
      <c r="F230" s="15"/>
    </row>
    <row r="231" spans="4:6" x14ac:dyDescent="0.3">
      <c r="D231" s="15"/>
      <c r="E231" s="15"/>
      <c r="F231" s="15"/>
    </row>
    <row r="232" spans="4:6" x14ac:dyDescent="0.3">
      <c r="D232" s="15"/>
      <c r="E232" s="15"/>
      <c r="F232" s="15"/>
    </row>
    <row r="233" spans="4:6" x14ac:dyDescent="0.3">
      <c r="D233" s="15"/>
      <c r="E233" s="15"/>
      <c r="F233" s="15"/>
    </row>
    <row r="234" spans="4:6" x14ac:dyDescent="0.3">
      <c r="D234" s="15"/>
      <c r="E234" s="15"/>
      <c r="F234" s="15"/>
    </row>
    <row r="235" spans="4:6" x14ac:dyDescent="0.3">
      <c r="D235" s="15"/>
      <c r="E235" s="15"/>
      <c r="F235" s="15"/>
    </row>
    <row r="236" spans="4:6" x14ac:dyDescent="0.3">
      <c r="D236" s="15"/>
      <c r="E236" s="15"/>
      <c r="F236" s="15"/>
    </row>
    <row r="237" spans="4:6" x14ac:dyDescent="0.3">
      <c r="D237" s="15"/>
      <c r="E237" s="15"/>
      <c r="F237" s="15"/>
    </row>
    <row r="238" spans="4:6" x14ac:dyDescent="0.3">
      <c r="D238" s="15"/>
      <c r="E238" s="15"/>
      <c r="F238" s="15"/>
    </row>
    <row r="239" spans="4:6" x14ac:dyDescent="0.3">
      <c r="D239" s="15"/>
      <c r="E239" s="15"/>
      <c r="F239" s="15"/>
    </row>
    <row r="240" spans="4:6" x14ac:dyDescent="0.3">
      <c r="D240" s="15"/>
      <c r="E240" s="15"/>
      <c r="F240" s="15"/>
    </row>
    <row r="241" spans="4:6" x14ac:dyDescent="0.3">
      <c r="D241" s="15"/>
      <c r="E241" s="15"/>
      <c r="F241" s="15"/>
    </row>
    <row r="242" spans="4:6" x14ac:dyDescent="0.3">
      <c r="D242" s="15"/>
      <c r="E242" s="15"/>
      <c r="F242" s="15"/>
    </row>
    <row r="243" spans="4:6" x14ac:dyDescent="0.3">
      <c r="D243" s="15"/>
      <c r="E243" s="15"/>
      <c r="F243" s="15"/>
    </row>
    <row r="244" spans="4:6" x14ac:dyDescent="0.3">
      <c r="D244" s="15"/>
      <c r="E244" s="15"/>
      <c r="F244" s="15"/>
    </row>
    <row r="245" spans="4:6" x14ac:dyDescent="0.3">
      <c r="D245" s="15"/>
      <c r="E245" s="15"/>
      <c r="F245" s="15"/>
    </row>
    <row r="246" spans="4:6" x14ac:dyDescent="0.3">
      <c r="D246" s="15"/>
      <c r="E246" s="15"/>
      <c r="F246" s="15"/>
    </row>
    <row r="247" spans="4:6" x14ac:dyDescent="0.3">
      <c r="D247" s="15"/>
      <c r="E247" s="15"/>
      <c r="F247" s="15"/>
    </row>
    <row r="248" spans="4:6" x14ac:dyDescent="0.3">
      <c r="D248" s="15"/>
      <c r="E248" s="15"/>
      <c r="F248" s="15"/>
    </row>
    <row r="249" spans="4:6" x14ac:dyDescent="0.3">
      <c r="D249" s="15"/>
      <c r="E249" s="15"/>
      <c r="F249" s="15"/>
    </row>
    <row r="250" spans="4:6" x14ac:dyDescent="0.3">
      <c r="D250" s="15"/>
      <c r="E250" s="15"/>
      <c r="F250" s="15"/>
    </row>
    <row r="251" spans="4:6" x14ac:dyDescent="0.3">
      <c r="D251" s="15"/>
      <c r="E251" s="15"/>
      <c r="F251" s="15"/>
    </row>
    <row r="252" spans="4:6" x14ac:dyDescent="0.3">
      <c r="D252" s="15"/>
      <c r="E252" s="15"/>
      <c r="F252" s="15"/>
    </row>
    <row r="253" spans="4:6" x14ac:dyDescent="0.3">
      <c r="D253" s="15"/>
      <c r="E253" s="15"/>
      <c r="F253" s="15"/>
    </row>
    <row r="254" spans="4:6" x14ac:dyDescent="0.3">
      <c r="D254" s="15"/>
      <c r="E254" s="15"/>
      <c r="F254" s="15"/>
    </row>
    <row r="255" spans="4:6" x14ac:dyDescent="0.3">
      <c r="D255" s="15"/>
      <c r="E255" s="15"/>
      <c r="F255" s="15"/>
    </row>
    <row r="256" spans="4:6" x14ac:dyDescent="0.3">
      <c r="D256" s="15"/>
      <c r="E256" s="15"/>
      <c r="F256" s="15"/>
    </row>
    <row r="257" spans="4:6" x14ac:dyDescent="0.3">
      <c r="D257" s="15"/>
      <c r="E257" s="15"/>
      <c r="F257" s="15"/>
    </row>
    <row r="258" spans="4:6" x14ac:dyDescent="0.3">
      <c r="D258" s="15"/>
      <c r="E258" s="15"/>
      <c r="F258" s="15"/>
    </row>
    <row r="259" spans="4:6" x14ac:dyDescent="0.3">
      <c r="D259" s="15"/>
      <c r="E259" s="15"/>
      <c r="F259" s="15"/>
    </row>
    <row r="260" spans="4:6" x14ac:dyDescent="0.3">
      <c r="D260" s="15"/>
      <c r="E260" s="15"/>
      <c r="F260" s="15"/>
    </row>
    <row r="261" spans="4:6" x14ac:dyDescent="0.3">
      <c r="D261" s="15"/>
      <c r="E261" s="15"/>
      <c r="F261" s="15"/>
    </row>
    <row r="262" spans="4:6" x14ac:dyDescent="0.3">
      <c r="D262" s="15"/>
      <c r="E262" s="15"/>
      <c r="F262" s="15"/>
    </row>
    <row r="263" spans="4:6" x14ac:dyDescent="0.3">
      <c r="D263" s="15"/>
      <c r="E263" s="15"/>
      <c r="F263" s="15"/>
    </row>
    <row r="264" spans="4:6" x14ac:dyDescent="0.3">
      <c r="D264" s="15"/>
      <c r="E264" s="15"/>
      <c r="F264" s="15"/>
    </row>
    <row r="265" spans="4:6" x14ac:dyDescent="0.3">
      <c r="D265" s="15"/>
      <c r="E265" s="15"/>
      <c r="F265" s="15"/>
    </row>
    <row r="266" spans="4:6" x14ac:dyDescent="0.3">
      <c r="D266" s="15"/>
      <c r="E266" s="15"/>
      <c r="F266" s="15"/>
    </row>
    <row r="267" spans="4:6" x14ac:dyDescent="0.3">
      <c r="D267" s="15"/>
      <c r="E267" s="15"/>
      <c r="F267" s="15"/>
    </row>
    <row r="268" spans="4:6" x14ac:dyDescent="0.3">
      <c r="D268" s="15"/>
      <c r="E268" s="15"/>
      <c r="F268" s="15"/>
    </row>
    <row r="269" spans="4:6" x14ac:dyDescent="0.3">
      <c r="D269" s="15"/>
      <c r="E269" s="15"/>
      <c r="F269" s="15"/>
    </row>
    <row r="270" spans="4:6" x14ac:dyDescent="0.3">
      <c r="D270" s="15"/>
      <c r="E270" s="15"/>
      <c r="F270" s="15"/>
    </row>
    <row r="271" spans="4:6" x14ac:dyDescent="0.3">
      <c r="D271" s="15"/>
      <c r="E271" s="15"/>
      <c r="F271" s="15"/>
    </row>
    <row r="272" spans="4:6" x14ac:dyDescent="0.3">
      <c r="D272" s="15"/>
      <c r="E272" s="15"/>
      <c r="F272" s="15"/>
    </row>
    <row r="273" spans="4:6" x14ac:dyDescent="0.3">
      <c r="D273" s="15"/>
      <c r="E273" s="15"/>
      <c r="F273" s="15"/>
    </row>
    <row r="274" spans="4:6" x14ac:dyDescent="0.3">
      <c r="D274" s="15"/>
      <c r="E274" s="15"/>
      <c r="F274" s="15"/>
    </row>
    <row r="275" spans="4:6" x14ac:dyDescent="0.3">
      <c r="D275" s="15"/>
      <c r="E275" s="15"/>
      <c r="F275" s="15"/>
    </row>
    <row r="276" spans="4:6" x14ac:dyDescent="0.3">
      <c r="D276" s="15"/>
      <c r="E276" s="15"/>
      <c r="F276" s="15"/>
    </row>
    <row r="277" spans="4:6" x14ac:dyDescent="0.3">
      <c r="D277" s="15"/>
      <c r="E277" s="15"/>
      <c r="F277" s="15"/>
    </row>
    <row r="278" spans="4:6" x14ac:dyDescent="0.3">
      <c r="D278" s="15"/>
      <c r="E278" s="15"/>
      <c r="F278" s="15"/>
    </row>
    <row r="279" spans="4:6" x14ac:dyDescent="0.3">
      <c r="D279" s="15"/>
      <c r="E279" s="15"/>
      <c r="F279" s="15"/>
    </row>
    <row r="280" spans="4:6" x14ac:dyDescent="0.3">
      <c r="D280" s="15"/>
      <c r="E280" s="15"/>
      <c r="F280" s="15"/>
    </row>
    <row r="281" spans="4:6" x14ac:dyDescent="0.3">
      <c r="D281" s="15"/>
      <c r="E281" s="15"/>
      <c r="F281" s="15"/>
    </row>
    <row r="282" spans="4:6" x14ac:dyDescent="0.3">
      <c r="D282" s="15"/>
      <c r="E282" s="15"/>
      <c r="F282" s="15"/>
    </row>
    <row r="283" spans="4:6" x14ac:dyDescent="0.3">
      <c r="D283" s="15"/>
      <c r="E283" s="15"/>
      <c r="F283" s="15"/>
    </row>
    <row r="284" spans="4:6" x14ac:dyDescent="0.3">
      <c r="D284" s="15"/>
      <c r="E284" s="15"/>
      <c r="F284" s="15"/>
    </row>
    <row r="285" spans="4:6" x14ac:dyDescent="0.3">
      <c r="D285" s="15"/>
      <c r="E285" s="15"/>
      <c r="F285" s="15"/>
    </row>
    <row r="286" spans="4:6" x14ac:dyDescent="0.3">
      <c r="D286" s="15"/>
      <c r="E286" s="15"/>
      <c r="F286" s="15"/>
    </row>
    <row r="287" spans="4:6" x14ac:dyDescent="0.3">
      <c r="D287" s="15"/>
      <c r="E287" s="15"/>
      <c r="F287" s="15"/>
    </row>
    <row r="288" spans="4:6" x14ac:dyDescent="0.3">
      <c r="D288" s="15"/>
      <c r="E288" s="15"/>
      <c r="F288" s="15"/>
    </row>
    <row r="289" spans="4:6" x14ac:dyDescent="0.3">
      <c r="D289" s="15"/>
      <c r="E289" s="15"/>
      <c r="F289" s="15"/>
    </row>
    <row r="290" spans="4:6" x14ac:dyDescent="0.3">
      <c r="D290" s="15"/>
      <c r="E290" s="15"/>
      <c r="F290" s="15"/>
    </row>
    <row r="291" spans="4:6" x14ac:dyDescent="0.3">
      <c r="D291" s="15"/>
      <c r="E291" s="15"/>
      <c r="F291" s="15"/>
    </row>
    <row r="292" spans="4:6" x14ac:dyDescent="0.3">
      <c r="D292" s="15"/>
      <c r="E292" s="15"/>
      <c r="F292" s="15"/>
    </row>
    <row r="293" spans="4:6" x14ac:dyDescent="0.3">
      <c r="D293" s="15"/>
      <c r="E293" s="15"/>
      <c r="F293" s="15"/>
    </row>
    <row r="294" spans="4:6" x14ac:dyDescent="0.3">
      <c r="D294" s="15"/>
      <c r="E294" s="15"/>
      <c r="F294" s="15"/>
    </row>
    <row r="295" spans="4:6" x14ac:dyDescent="0.3">
      <c r="D295" s="15"/>
      <c r="E295" s="15"/>
      <c r="F295" s="15"/>
    </row>
    <row r="296" spans="4:6" x14ac:dyDescent="0.3">
      <c r="D296" s="15"/>
      <c r="E296" s="15"/>
      <c r="F296" s="15"/>
    </row>
    <row r="297" spans="4:6" x14ac:dyDescent="0.3">
      <c r="D297" s="15"/>
      <c r="E297" s="15"/>
      <c r="F297" s="15"/>
    </row>
    <row r="298" spans="4:6" x14ac:dyDescent="0.3">
      <c r="D298" s="15"/>
      <c r="E298" s="15"/>
      <c r="F298" s="15"/>
    </row>
    <row r="299" spans="4:6" x14ac:dyDescent="0.3">
      <c r="D299" s="15"/>
      <c r="E299" s="15"/>
      <c r="F299" s="15"/>
    </row>
    <row r="300" spans="4:6" x14ac:dyDescent="0.3">
      <c r="D300" s="15"/>
      <c r="E300" s="15"/>
      <c r="F300" s="15"/>
    </row>
    <row r="301" spans="4:6" x14ac:dyDescent="0.3">
      <c r="D301" s="15"/>
      <c r="E301" s="15"/>
      <c r="F301" s="15"/>
    </row>
    <row r="302" spans="4:6" x14ac:dyDescent="0.3">
      <c r="D302" s="15"/>
      <c r="E302" s="15"/>
      <c r="F302" s="15"/>
    </row>
    <row r="303" spans="4:6" x14ac:dyDescent="0.3">
      <c r="D303" s="15"/>
      <c r="E303" s="15"/>
      <c r="F303" s="15"/>
    </row>
    <row r="304" spans="4:6" x14ac:dyDescent="0.3">
      <c r="D304" s="15"/>
      <c r="E304" s="15"/>
      <c r="F304" s="15"/>
    </row>
    <row r="305" spans="4:6" x14ac:dyDescent="0.3">
      <c r="D305" s="15"/>
      <c r="E305" s="15"/>
      <c r="F305" s="15"/>
    </row>
    <row r="306" spans="4:6" x14ac:dyDescent="0.3">
      <c r="D306" s="15"/>
      <c r="E306" s="15"/>
      <c r="F306" s="15"/>
    </row>
    <row r="307" spans="4:6" x14ac:dyDescent="0.3">
      <c r="D307" s="15"/>
      <c r="E307" s="15"/>
      <c r="F307" s="15"/>
    </row>
    <row r="308" spans="4:6" x14ac:dyDescent="0.3">
      <c r="D308" s="15"/>
      <c r="E308" s="15"/>
      <c r="F308" s="15"/>
    </row>
    <row r="309" spans="4:6" x14ac:dyDescent="0.3">
      <c r="D309" s="15"/>
      <c r="E309" s="15"/>
      <c r="F309" s="15"/>
    </row>
    <row r="310" spans="4:6" x14ac:dyDescent="0.3">
      <c r="D310" s="15"/>
      <c r="E310" s="15"/>
      <c r="F310" s="15"/>
    </row>
  </sheetData>
  <mergeCells count="15">
    <mergeCell ref="M23:M25"/>
    <mergeCell ref="B3:F3"/>
    <mergeCell ref="M3:N3"/>
    <mergeCell ref="H2:J2"/>
    <mergeCell ref="B1:F1"/>
    <mergeCell ref="H3:J3"/>
    <mergeCell ref="M1:N1"/>
    <mergeCell ref="K3:L3"/>
    <mergeCell ref="K20:K21"/>
    <mergeCell ref="L20:O21"/>
    <mergeCell ref="H1:J1"/>
    <mergeCell ref="M2:N2"/>
    <mergeCell ref="B2:F2"/>
    <mergeCell ref="K2:L2"/>
    <mergeCell ref="K1:L1"/>
  </mergeCells>
  <conditionalFormatting sqref="G1:G1048576">
    <cfRule type="containsText" dxfId="9" priority="5" operator="containsText" text="1st LOT">
      <formula>NOT(ISERROR(SEARCH("1st LOT",G1)))</formula>
    </cfRule>
    <cfRule type="containsText" dxfId="8" priority="4" operator="containsText" text="2nd LOT">
      <formula>NOT(ISERROR(SEARCH("2nd LOT",G1)))</formula>
    </cfRule>
    <cfRule type="containsText" dxfId="7" priority="3" operator="containsText" text="ON HOLD">
      <formula>NOT(ISERROR(SEARCH("ON HOLD",G1)))</formula>
    </cfRule>
    <cfRule type="containsText" dxfId="6" priority="2" operator="containsText" text="CANCELLED">
      <formula>NOT(ISERROR(SEARCH("CANCELLED",G1)))</formula>
    </cfRule>
    <cfRule type="containsText" dxfId="5" priority="1" operator="containsText" text="3rd LOT">
      <formula>NOT(ISERROR(SEARCH("3rd LOT",G1)))</formula>
    </cfRule>
  </conditionalFormatting>
  <dataValidations count="1">
    <dataValidation type="list" showErrorMessage="1" sqref="G5" xr:uid="{939562CE-6D38-432C-8091-D76868B7BFAA}">
      <formula1>"1st LOT, 2nd LOT, 3rd LOT, CANCELLED, ON HOLD"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ransferDataToLastRow">
                <anchor moveWithCells="1" sizeWithCells="1">
                  <from>
                    <xdr:col>7</xdr:col>
                    <xdr:colOff>335280</xdr:colOff>
                    <xdr:row>5</xdr:row>
                    <xdr:rowOff>106680</xdr:rowOff>
                  </from>
                  <to>
                    <xdr:col>9</xdr:col>
                    <xdr:colOff>297180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L30"/>
  <sheetViews>
    <sheetView workbookViewId="0">
      <pane ySplit="3" topLeftCell="A4" activePane="bottomLeft" state="frozen"/>
      <selection pane="bottomLeft" activeCell="O13" sqref="O13"/>
    </sheetView>
  </sheetViews>
  <sheetFormatPr defaultRowHeight="14.4" x14ac:dyDescent="0.3"/>
  <cols>
    <col min="1" max="1" width="11.88671875" customWidth="1"/>
    <col min="2" max="2" width="15" customWidth="1"/>
    <col min="3" max="3" width="5.109375" customWidth="1"/>
    <col min="4" max="4" width="14.44140625" customWidth="1"/>
    <col min="5" max="5" width="13.77734375" customWidth="1"/>
    <col min="6" max="6" width="15.33203125" customWidth="1"/>
    <col min="7" max="7" width="12.77734375" customWidth="1"/>
    <col min="11" max="11" width="19" customWidth="1"/>
    <col min="12" max="12" width="17.88671875" customWidth="1"/>
  </cols>
  <sheetData>
    <row r="3" spans="1:12" x14ac:dyDescent="0.3">
      <c r="A3" s="49" t="s">
        <v>8</v>
      </c>
      <c r="B3" s="49" t="s">
        <v>9</v>
      </c>
      <c r="C3" s="49" t="s">
        <v>10</v>
      </c>
      <c r="D3" s="49" t="s">
        <v>11</v>
      </c>
      <c r="E3" s="47" t="s">
        <v>12</v>
      </c>
      <c r="F3" s="49" t="s">
        <v>13</v>
      </c>
      <c r="G3" s="1"/>
    </row>
    <row r="4" spans="1:12" x14ac:dyDescent="0.3">
      <c r="D4" s="15"/>
      <c r="E4" s="15"/>
      <c r="F4" s="15"/>
    </row>
    <row r="5" spans="1:12" x14ac:dyDescent="0.3">
      <c r="D5" s="15"/>
      <c r="E5" s="15"/>
      <c r="F5" s="15"/>
    </row>
    <row r="6" spans="1:12" ht="15" customHeight="1" thickBot="1" x14ac:dyDescent="0.35">
      <c r="D6" s="15"/>
      <c r="E6" s="15"/>
      <c r="F6" s="15"/>
      <c r="K6" s="9" t="s">
        <v>15</v>
      </c>
      <c r="L6" s="10"/>
    </row>
    <row r="7" spans="1:12" ht="15" customHeight="1" thickTop="1" x14ac:dyDescent="0.3">
      <c r="D7" s="15"/>
      <c r="E7" s="15"/>
      <c r="F7" s="15"/>
      <c r="K7" s="3" t="s">
        <v>16</v>
      </c>
      <c r="L7" s="20">
        <f>SUM(E3:E4)</f>
        <v>0</v>
      </c>
    </row>
    <row r="8" spans="1:12" x14ac:dyDescent="0.3">
      <c r="D8" s="15"/>
      <c r="E8" s="15"/>
      <c r="F8" s="15"/>
      <c r="K8" s="4" t="s">
        <v>17</v>
      </c>
      <c r="L8" s="20">
        <f>(L7*'Client Master'!L8)/100</f>
        <v>0</v>
      </c>
    </row>
    <row r="9" spans="1:12" x14ac:dyDescent="0.3">
      <c r="D9" s="15"/>
      <c r="E9" s="15"/>
      <c r="F9" s="15"/>
      <c r="K9" s="3" t="s">
        <v>18</v>
      </c>
      <c r="L9" s="20">
        <f>L7-L8</f>
        <v>0</v>
      </c>
    </row>
    <row r="10" spans="1:12" x14ac:dyDescent="0.3">
      <c r="D10" s="15"/>
      <c r="E10" s="15"/>
      <c r="F10" s="15"/>
      <c r="K10" s="3" t="s">
        <v>19</v>
      </c>
      <c r="L10" s="20">
        <f>'Client Master'!L12</f>
        <v>0</v>
      </c>
    </row>
    <row r="11" spans="1:12" x14ac:dyDescent="0.3">
      <c r="D11" s="15"/>
      <c r="E11" s="15"/>
      <c r="F11" s="15"/>
      <c r="K11" s="3" t="s">
        <v>20</v>
      </c>
      <c r="L11" s="20">
        <f>'Client Master'!L13</f>
        <v>0</v>
      </c>
    </row>
    <row r="12" spans="1:12" x14ac:dyDescent="0.3">
      <c r="D12" s="15"/>
      <c r="E12" s="15"/>
      <c r="F12" s="15"/>
      <c r="K12" s="3" t="s">
        <v>21</v>
      </c>
      <c r="L12" s="20">
        <f>SUM(F3:F4)</f>
        <v>0</v>
      </c>
    </row>
    <row r="13" spans="1:12" ht="15" customHeight="1" thickBot="1" x14ac:dyDescent="0.35">
      <c r="D13" s="15"/>
      <c r="E13" s="15"/>
      <c r="F13" s="15"/>
      <c r="K13" s="9" t="s">
        <v>22</v>
      </c>
      <c r="L13" s="20">
        <f>((L9+L10+L11+L12)*18)/100</f>
        <v>0</v>
      </c>
    </row>
    <row r="14" spans="1:12" ht="15" customHeight="1" thickTop="1" x14ac:dyDescent="0.3">
      <c r="D14" s="15"/>
      <c r="E14" s="15"/>
      <c r="F14" s="15"/>
      <c r="K14" s="11" t="s">
        <v>23</v>
      </c>
      <c r="L14" s="22">
        <f>L9+L13+L10+L11+L12</f>
        <v>0</v>
      </c>
    </row>
    <row r="15" spans="1:12" x14ac:dyDescent="0.3">
      <c r="D15" s="15"/>
      <c r="E15" s="15"/>
      <c r="F15" s="15"/>
      <c r="K15" s="5" t="s">
        <v>24</v>
      </c>
      <c r="L15" s="23">
        <f>L7+L10+L11+L12+(((L7+L10++L12)*18)/100)</f>
        <v>0</v>
      </c>
    </row>
    <row r="16" spans="1:12" ht="15" customHeight="1" thickBot="1" x14ac:dyDescent="0.35">
      <c r="D16" s="15"/>
      <c r="E16" s="15"/>
      <c r="F16" s="15"/>
      <c r="K16" s="13" t="s">
        <v>25</v>
      </c>
      <c r="L16" s="24">
        <f>L15-L14</f>
        <v>0</v>
      </c>
    </row>
    <row r="17" spans="4:12" ht="15" customHeight="1" thickTop="1" x14ac:dyDescent="0.3">
      <c r="D17" s="15"/>
      <c r="E17" s="15"/>
      <c r="F17" s="15"/>
      <c r="K17" s="3"/>
      <c r="L17" s="14"/>
    </row>
    <row r="18" spans="4:12" x14ac:dyDescent="0.3">
      <c r="D18" s="15"/>
      <c r="E18" s="15"/>
      <c r="F18" s="15"/>
    </row>
    <row r="19" spans="4:12" x14ac:dyDescent="0.3">
      <c r="D19" s="15"/>
      <c r="E19" s="15"/>
      <c r="F19" s="15"/>
      <c r="K19" s="3"/>
    </row>
    <row r="20" spans="4:12" ht="15" customHeight="1" x14ac:dyDescent="0.3">
      <c r="D20" s="15"/>
      <c r="E20" s="15"/>
      <c r="F20" s="15"/>
    </row>
    <row r="21" spans="4:12" ht="15" customHeight="1" x14ac:dyDescent="0.3">
      <c r="D21" s="15"/>
      <c r="E21" s="15"/>
      <c r="F21" s="15"/>
    </row>
    <row r="22" spans="4:12" x14ac:dyDescent="0.3">
      <c r="D22" s="15"/>
      <c r="E22" s="15"/>
      <c r="F22" s="15"/>
    </row>
    <row r="23" spans="4:12" x14ac:dyDescent="0.3">
      <c r="D23" s="15"/>
      <c r="E23" s="15"/>
      <c r="F23" s="15"/>
    </row>
    <row r="24" spans="4:12" x14ac:dyDescent="0.3">
      <c r="D24" s="15"/>
      <c r="E24" s="15"/>
      <c r="F24" s="15"/>
    </row>
    <row r="25" spans="4:12" x14ac:dyDescent="0.3">
      <c r="D25" s="15"/>
      <c r="E25" s="15"/>
      <c r="F25" s="15"/>
    </row>
    <row r="26" spans="4:12" x14ac:dyDescent="0.3">
      <c r="D26" s="15"/>
      <c r="E26" s="15"/>
      <c r="F26" s="48"/>
    </row>
    <row r="27" spans="4:12" x14ac:dyDescent="0.3">
      <c r="D27" s="15"/>
      <c r="E27" s="15"/>
      <c r="F27" s="15"/>
    </row>
    <row r="28" spans="4:12" x14ac:dyDescent="0.3">
      <c r="D28" s="15"/>
      <c r="E28" s="15"/>
      <c r="F28" s="15"/>
    </row>
    <row r="29" spans="4:12" x14ac:dyDescent="0.3">
      <c r="D29" s="15"/>
      <c r="E29" s="15"/>
      <c r="F29" s="15"/>
    </row>
    <row r="30" spans="4:12" x14ac:dyDescent="0.3">
      <c r="D30" s="15"/>
      <c r="E30" s="15"/>
      <c r="F30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8BD44-15D9-4128-84F4-DC72BC593538}">
  <sheetPr codeName="Sheet3"/>
  <dimension ref="A3:L30"/>
  <sheetViews>
    <sheetView workbookViewId="0">
      <pane ySplit="3" topLeftCell="A4" activePane="bottomLeft" state="frozen"/>
      <selection pane="bottomLeft" activeCell="L11" sqref="L11"/>
    </sheetView>
  </sheetViews>
  <sheetFormatPr defaultRowHeight="14.4" x14ac:dyDescent="0.3"/>
  <cols>
    <col min="1" max="1" width="11.88671875" customWidth="1"/>
    <col min="2" max="2" width="15" customWidth="1"/>
    <col min="3" max="3" width="5.109375" customWidth="1"/>
    <col min="4" max="4" width="14.44140625" customWidth="1"/>
    <col min="5" max="5" width="13.77734375" customWidth="1"/>
    <col min="6" max="6" width="15.33203125" customWidth="1"/>
    <col min="7" max="7" width="12.77734375" customWidth="1"/>
    <col min="11" max="11" width="19" customWidth="1"/>
    <col min="12" max="12" width="17.88671875" customWidth="1"/>
  </cols>
  <sheetData>
    <row r="3" spans="1:12" x14ac:dyDescent="0.3">
      <c r="A3" s="1" t="s">
        <v>8</v>
      </c>
      <c r="B3" s="49" t="s">
        <v>9</v>
      </c>
      <c r="C3" s="49" t="s">
        <v>10</v>
      </c>
      <c r="D3" s="49" t="s">
        <v>11</v>
      </c>
      <c r="E3" s="1" t="s">
        <v>12</v>
      </c>
      <c r="F3" s="1" t="s">
        <v>13</v>
      </c>
      <c r="G3" s="49"/>
    </row>
    <row r="4" spans="1:12" x14ac:dyDescent="0.3">
      <c r="D4" s="15"/>
      <c r="E4" s="15"/>
      <c r="F4" s="15"/>
    </row>
    <row r="5" spans="1:12" x14ac:dyDescent="0.3">
      <c r="D5" s="15"/>
      <c r="E5" s="15"/>
      <c r="F5" s="15"/>
    </row>
    <row r="6" spans="1:12" ht="15" customHeight="1" thickBot="1" x14ac:dyDescent="0.35">
      <c r="D6" s="15"/>
      <c r="E6" s="15"/>
      <c r="F6" s="15"/>
      <c r="K6" s="9" t="s">
        <v>15</v>
      </c>
      <c r="L6" s="10"/>
    </row>
    <row r="7" spans="1:12" ht="15" customHeight="1" thickTop="1" x14ac:dyDescent="0.3">
      <c r="D7" s="15"/>
      <c r="E7" s="15"/>
      <c r="F7" s="15"/>
      <c r="K7" s="3" t="s">
        <v>16</v>
      </c>
      <c r="L7" s="20">
        <f>SUM(E3:E4)</f>
        <v>0</v>
      </c>
    </row>
    <row r="8" spans="1:12" x14ac:dyDescent="0.3">
      <c r="D8" s="15"/>
      <c r="E8" s="15"/>
      <c r="F8" s="15"/>
      <c r="K8" s="4" t="s">
        <v>17</v>
      </c>
      <c r="L8" s="20">
        <f>(L7*'Client Master'!L8)/100</f>
        <v>0</v>
      </c>
    </row>
    <row r="9" spans="1:12" x14ac:dyDescent="0.3">
      <c r="D9" s="15"/>
      <c r="E9" s="15"/>
      <c r="F9" s="15"/>
      <c r="K9" s="3" t="s">
        <v>18</v>
      </c>
      <c r="L9" s="20">
        <f>L7-L8</f>
        <v>0</v>
      </c>
    </row>
    <row r="10" spans="1:12" x14ac:dyDescent="0.3">
      <c r="D10" s="15"/>
      <c r="E10" s="15"/>
      <c r="F10" s="15"/>
      <c r="K10" s="3" t="s">
        <v>19</v>
      </c>
      <c r="L10" s="20"/>
    </row>
    <row r="11" spans="1:12" x14ac:dyDescent="0.3">
      <c r="D11" s="15"/>
      <c r="E11" s="15"/>
      <c r="F11" s="15"/>
      <c r="K11" s="3" t="s">
        <v>20</v>
      </c>
      <c r="L11" s="20"/>
    </row>
    <row r="12" spans="1:12" x14ac:dyDescent="0.3">
      <c r="D12" s="15"/>
      <c r="E12" s="15"/>
      <c r="F12" s="15"/>
      <c r="K12" s="3" t="s">
        <v>21</v>
      </c>
      <c r="L12" s="20">
        <f>SUM(F3:F4)</f>
        <v>0</v>
      </c>
    </row>
    <row r="13" spans="1:12" ht="15" customHeight="1" thickBot="1" x14ac:dyDescent="0.35">
      <c r="D13" s="15"/>
      <c r="E13" s="15"/>
      <c r="F13" s="15"/>
      <c r="K13" s="9" t="s">
        <v>22</v>
      </c>
      <c r="L13" s="20">
        <f>((L9+L10+L11+L12)*18)/100</f>
        <v>0</v>
      </c>
    </row>
    <row r="14" spans="1:12" ht="15" customHeight="1" thickTop="1" x14ac:dyDescent="0.3">
      <c r="D14" s="15"/>
      <c r="E14" s="15"/>
      <c r="F14" s="15"/>
      <c r="K14" s="11" t="s">
        <v>23</v>
      </c>
      <c r="L14" s="22">
        <f>L9+L13+L10+L11+L12</f>
        <v>0</v>
      </c>
    </row>
    <row r="15" spans="1:12" x14ac:dyDescent="0.3">
      <c r="D15" s="15"/>
      <c r="E15" s="15"/>
      <c r="F15" s="15"/>
      <c r="K15" s="5" t="s">
        <v>24</v>
      </c>
      <c r="L15" s="23">
        <f>L7+L10+L11+L12+(((L7+L10++L12)*18)/100)</f>
        <v>0</v>
      </c>
    </row>
    <row r="16" spans="1:12" ht="15" customHeight="1" thickBot="1" x14ac:dyDescent="0.35">
      <c r="D16" s="15"/>
      <c r="E16" s="15"/>
      <c r="F16" s="15"/>
      <c r="K16" s="13" t="s">
        <v>25</v>
      </c>
      <c r="L16" s="24">
        <f>L15-L14</f>
        <v>0</v>
      </c>
    </row>
    <row r="17" spans="4:12" ht="15" customHeight="1" thickTop="1" x14ac:dyDescent="0.3">
      <c r="D17" s="15"/>
      <c r="E17" s="15"/>
      <c r="F17" s="15"/>
      <c r="K17" s="3"/>
      <c r="L17" s="14"/>
    </row>
    <row r="18" spans="4:12" x14ac:dyDescent="0.3">
      <c r="D18" s="15"/>
      <c r="E18" s="15"/>
      <c r="F18" s="15"/>
    </row>
    <row r="19" spans="4:12" x14ac:dyDescent="0.3">
      <c r="D19" s="15"/>
      <c r="E19" s="15"/>
      <c r="F19" s="15"/>
    </row>
    <row r="20" spans="4:12" ht="15" customHeight="1" x14ac:dyDescent="0.3">
      <c r="D20" s="15"/>
      <c r="E20" s="15"/>
      <c r="F20" s="15"/>
    </row>
    <row r="21" spans="4:12" ht="15" customHeight="1" x14ac:dyDescent="0.3">
      <c r="D21" s="15"/>
      <c r="E21" s="15"/>
      <c r="F21" s="15"/>
    </row>
    <row r="22" spans="4:12" x14ac:dyDescent="0.3">
      <c r="D22" s="15"/>
      <c r="E22" s="15"/>
      <c r="F22" s="15"/>
    </row>
    <row r="23" spans="4:12" x14ac:dyDescent="0.3">
      <c r="D23" s="15"/>
      <c r="E23" s="15"/>
      <c r="F23" s="15"/>
    </row>
    <row r="24" spans="4:12" x14ac:dyDescent="0.3">
      <c r="D24" s="15"/>
      <c r="E24" s="15"/>
      <c r="F24" s="15"/>
    </row>
    <row r="25" spans="4:12" x14ac:dyDescent="0.3">
      <c r="D25" s="15"/>
      <c r="E25" s="15"/>
      <c r="F25" s="15"/>
    </row>
    <row r="26" spans="4:12" x14ac:dyDescent="0.3">
      <c r="D26" s="15"/>
      <c r="E26" s="15"/>
      <c r="F26" s="15"/>
    </row>
    <row r="27" spans="4:12" x14ac:dyDescent="0.3">
      <c r="D27" s="15"/>
      <c r="E27" s="15"/>
      <c r="F27" s="15"/>
    </row>
    <row r="28" spans="4:12" x14ac:dyDescent="0.3">
      <c r="D28" s="15"/>
      <c r="E28" s="15"/>
      <c r="F28" s="15"/>
    </row>
    <row r="29" spans="4:12" x14ac:dyDescent="0.3">
      <c r="D29" s="15"/>
      <c r="E29" s="15"/>
      <c r="F29" s="15"/>
    </row>
    <row r="30" spans="4:12" x14ac:dyDescent="0.3">
      <c r="D30" s="15"/>
      <c r="E30" s="15"/>
      <c r="F3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E58E-CFF0-4F7D-AE42-E3C9760BC7AC}">
  <sheetPr codeName="Sheet4"/>
  <dimension ref="A3:L30"/>
  <sheetViews>
    <sheetView workbookViewId="0">
      <pane ySplit="3" topLeftCell="A4" activePane="bottomLeft" state="frozen"/>
      <selection pane="bottomLeft" activeCell="L11" sqref="L11"/>
    </sheetView>
  </sheetViews>
  <sheetFormatPr defaultRowHeight="14.4" x14ac:dyDescent="0.3"/>
  <cols>
    <col min="1" max="1" width="11.88671875" customWidth="1"/>
    <col min="2" max="2" width="15" customWidth="1"/>
    <col min="3" max="3" width="5.109375" customWidth="1"/>
    <col min="4" max="4" width="14.44140625" customWidth="1"/>
    <col min="5" max="5" width="13.77734375" customWidth="1"/>
    <col min="6" max="6" width="15.33203125" customWidth="1"/>
    <col min="7" max="7" width="12.77734375" customWidth="1"/>
    <col min="11" max="11" width="19" customWidth="1"/>
    <col min="12" max="12" width="17.88671875" customWidth="1"/>
  </cols>
  <sheetData>
    <row r="3" spans="1:12" x14ac:dyDescent="0.3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1" t="s">
        <v>13</v>
      </c>
      <c r="G3" s="1"/>
    </row>
    <row r="4" spans="1:12" x14ac:dyDescent="0.3">
      <c r="D4" s="15"/>
      <c r="E4" s="15"/>
      <c r="F4" s="15"/>
    </row>
    <row r="5" spans="1:12" x14ac:dyDescent="0.3">
      <c r="D5" s="15"/>
      <c r="E5" s="15"/>
      <c r="F5" s="15"/>
    </row>
    <row r="6" spans="1:12" ht="15" customHeight="1" thickBot="1" x14ac:dyDescent="0.35">
      <c r="D6" s="15"/>
      <c r="E6" s="15"/>
      <c r="F6" s="15"/>
      <c r="K6" s="9" t="s">
        <v>15</v>
      </c>
      <c r="L6" s="10"/>
    </row>
    <row r="7" spans="1:12" ht="15" customHeight="1" thickTop="1" x14ac:dyDescent="0.3">
      <c r="D7" s="15"/>
      <c r="E7" s="15"/>
      <c r="F7" s="15"/>
      <c r="K7" s="3" t="s">
        <v>16</v>
      </c>
      <c r="L7" s="20">
        <f>SUM(E3:E4)</f>
        <v>0</v>
      </c>
    </row>
    <row r="8" spans="1:12" x14ac:dyDescent="0.3">
      <c r="D8" s="15"/>
      <c r="E8" s="15"/>
      <c r="F8" s="15"/>
      <c r="K8" s="4" t="s">
        <v>17</v>
      </c>
      <c r="L8" s="20">
        <f>(L7*'Client Master'!L8)/100</f>
        <v>0</v>
      </c>
    </row>
    <row r="9" spans="1:12" x14ac:dyDescent="0.3">
      <c r="D9" s="15"/>
      <c r="E9" s="15"/>
      <c r="F9" s="15"/>
      <c r="K9" s="3" t="s">
        <v>18</v>
      </c>
      <c r="L9" s="20">
        <f>L7-L8</f>
        <v>0</v>
      </c>
    </row>
    <row r="10" spans="1:12" x14ac:dyDescent="0.3">
      <c r="D10" s="15"/>
      <c r="E10" s="15"/>
      <c r="F10" s="15"/>
      <c r="K10" s="3" t="s">
        <v>19</v>
      </c>
      <c r="L10" s="20"/>
    </row>
    <row r="11" spans="1:12" x14ac:dyDescent="0.3">
      <c r="D11" s="15"/>
      <c r="E11" s="15"/>
      <c r="F11" s="15"/>
      <c r="K11" s="3" t="s">
        <v>20</v>
      </c>
      <c r="L11" s="20"/>
    </row>
    <row r="12" spans="1:12" x14ac:dyDescent="0.3">
      <c r="D12" s="15"/>
      <c r="E12" s="15"/>
      <c r="F12" s="15"/>
      <c r="K12" s="3" t="s">
        <v>21</v>
      </c>
      <c r="L12" s="20">
        <f>SUM(F3:F4)</f>
        <v>0</v>
      </c>
    </row>
    <row r="13" spans="1:12" ht="15" customHeight="1" thickBot="1" x14ac:dyDescent="0.35">
      <c r="D13" s="15"/>
      <c r="E13" s="15"/>
      <c r="F13" s="15"/>
      <c r="K13" s="9" t="s">
        <v>22</v>
      </c>
      <c r="L13" s="20">
        <f>((L9+L10+L11+L12)*18)/100</f>
        <v>0</v>
      </c>
    </row>
    <row r="14" spans="1:12" ht="15" customHeight="1" thickTop="1" x14ac:dyDescent="0.3">
      <c r="D14" s="15"/>
      <c r="E14" s="15"/>
      <c r="F14" s="15"/>
      <c r="K14" s="11" t="s">
        <v>23</v>
      </c>
      <c r="L14" s="22">
        <f>L9+L13+L10+L11+L12</f>
        <v>0</v>
      </c>
    </row>
    <row r="15" spans="1:12" x14ac:dyDescent="0.3">
      <c r="D15" s="15"/>
      <c r="E15" s="15"/>
      <c r="F15" s="15"/>
      <c r="K15" s="5" t="s">
        <v>24</v>
      </c>
      <c r="L15" s="23">
        <f>L7+L10+L11+L12+(((L7+L10++L12)*18)/100)</f>
        <v>0</v>
      </c>
    </row>
    <row r="16" spans="1:12" ht="15" customHeight="1" thickBot="1" x14ac:dyDescent="0.35">
      <c r="D16" s="15"/>
      <c r="E16" s="15"/>
      <c r="F16" s="15"/>
      <c r="K16" s="13" t="s">
        <v>25</v>
      </c>
      <c r="L16" s="54">
        <f>L15-L14</f>
        <v>0</v>
      </c>
    </row>
    <row r="17" spans="4:6" ht="15" customHeight="1" thickTop="1" x14ac:dyDescent="0.3">
      <c r="D17" s="15"/>
      <c r="E17" s="15"/>
      <c r="F17" s="15"/>
    </row>
    <row r="18" spans="4:6" x14ac:dyDescent="0.3">
      <c r="D18" s="15"/>
      <c r="E18" s="15"/>
      <c r="F18" s="15"/>
    </row>
    <row r="19" spans="4:6" x14ac:dyDescent="0.3">
      <c r="D19" s="15"/>
      <c r="E19" s="15"/>
      <c r="F19" s="15"/>
    </row>
    <row r="20" spans="4:6" ht="15" customHeight="1" x14ac:dyDescent="0.3">
      <c r="D20" s="15"/>
      <c r="E20" s="15"/>
      <c r="F20" s="15"/>
    </row>
    <row r="21" spans="4:6" ht="15" customHeight="1" x14ac:dyDescent="0.3">
      <c r="D21" s="15"/>
      <c r="E21" s="15"/>
      <c r="F21" s="15"/>
    </row>
    <row r="22" spans="4:6" x14ac:dyDescent="0.3">
      <c r="D22" s="15"/>
      <c r="E22" s="15"/>
      <c r="F22" s="15"/>
    </row>
    <row r="23" spans="4:6" x14ac:dyDescent="0.3">
      <c r="D23" s="15"/>
      <c r="E23" s="15"/>
      <c r="F23" s="15"/>
    </row>
    <row r="24" spans="4:6" x14ac:dyDescent="0.3">
      <c r="D24" s="15"/>
      <c r="E24" s="15"/>
      <c r="F24" s="15"/>
    </row>
    <row r="25" spans="4:6" x14ac:dyDescent="0.3">
      <c r="D25" s="15"/>
      <c r="E25" s="15"/>
      <c r="F25" s="15"/>
    </row>
    <row r="26" spans="4:6" x14ac:dyDescent="0.3">
      <c r="D26" s="15"/>
      <c r="E26" s="15"/>
      <c r="F26" s="15"/>
    </row>
    <row r="27" spans="4:6" x14ac:dyDescent="0.3">
      <c r="D27" s="15"/>
      <c r="E27" s="15"/>
      <c r="F27" s="15"/>
    </row>
    <row r="28" spans="4:6" x14ac:dyDescent="0.3">
      <c r="D28" s="15"/>
      <c r="E28" s="15"/>
      <c r="F28" s="15"/>
    </row>
    <row r="29" spans="4:6" x14ac:dyDescent="0.3">
      <c r="D29" s="15"/>
      <c r="E29" s="15"/>
      <c r="F29" s="15"/>
    </row>
    <row r="30" spans="4:6" x14ac:dyDescent="0.3">
      <c r="D30" s="15"/>
      <c r="E30" s="15"/>
      <c r="F30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5F57-9A2B-4F89-98E3-0D1446E86701}">
  <sheetPr codeName="Sheet5"/>
  <dimension ref="A3:L30"/>
  <sheetViews>
    <sheetView workbookViewId="0">
      <pane ySplit="3" topLeftCell="A4" activePane="bottomLeft" state="frozen"/>
      <selection pane="bottomLeft" activeCell="L11" sqref="L11"/>
    </sheetView>
  </sheetViews>
  <sheetFormatPr defaultRowHeight="14.4" x14ac:dyDescent="0.3"/>
  <cols>
    <col min="1" max="1" width="11.88671875" customWidth="1"/>
    <col min="2" max="2" width="15" customWidth="1"/>
    <col min="3" max="3" width="5.109375" customWidth="1"/>
    <col min="4" max="4" width="14.44140625" customWidth="1"/>
    <col min="5" max="5" width="13.77734375" customWidth="1"/>
    <col min="6" max="6" width="15.33203125" customWidth="1"/>
    <col min="7" max="7" width="12.77734375" customWidth="1"/>
    <col min="11" max="11" width="19" customWidth="1"/>
    <col min="12" max="12" width="17.88671875" customWidth="1"/>
  </cols>
  <sheetData>
    <row r="3" spans="1:12" x14ac:dyDescent="0.3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1" t="s">
        <v>13</v>
      </c>
      <c r="G3" s="1"/>
    </row>
    <row r="4" spans="1:12" x14ac:dyDescent="0.3">
      <c r="D4" s="15"/>
      <c r="E4" s="15"/>
      <c r="F4" s="15"/>
    </row>
    <row r="5" spans="1:12" x14ac:dyDescent="0.3">
      <c r="D5" s="15"/>
      <c r="E5" s="15"/>
      <c r="F5" s="15"/>
    </row>
    <row r="6" spans="1:12" ht="15" customHeight="1" thickBot="1" x14ac:dyDescent="0.35">
      <c r="D6" s="15"/>
      <c r="E6" s="15"/>
      <c r="F6" s="15"/>
      <c r="K6" s="9" t="s">
        <v>15</v>
      </c>
      <c r="L6" s="10"/>
    </row>
    <row r="7" spans="1:12" ht="15" customHeight="1" thickTop="1" x14ac:dyDescent="0.3">
      <c r="D7" s="15"/>
      <c r="E7" s="15"/>
      <c r="F7" s="15"/>
      <c r="K7" s="3" t="s">
        <v>16</v>
      </c>
      <c r="L7" s="20">
        <f>SUM(E3:E4)</f>
        <v>0</v>
      </c>
    </row>
    <row r="8" spans="1:12" x14ac:dyDescent="0.3">
      <c r="D8" s="15"/>
      <c r="E8" s="15"/>
      <c r="F8" s="15"/>
      <c r="K8" s="4" t="s">
        <v>17</v>
      </c>
      <c r="L8" s="20">
        <f>(L7*'Client Master'!L8)/100</f>
        <v>0</v>
      </c>
    </row>
    <row r="9" spans="1:12" x14ac:dyDescent="0.3">
      <c r="D9" s="15"/>
      <c r="E9" s="15"/>
      <c r="F9" s="15"/>
      <c r="K9" s="3" t="s">
        <v>18</v>
      </c>
      <c r="L9" s="20">
        <f>L7-L8</f>
        <v>0</v>
      </c>
    </row>
    <row r="10" spans="1:12" x14ac:dyDescent="0.3">
      <c r="D10" s="15"/>
      <c r="E10" s="15"/>
      <c r="F10" s="15"/>
      <c r="K10" s="3" t="s">
        <v>19</v>
      </c>
      <c r="L10" s="20"/>
    </row>
    <row r="11" spans="1:12" x14ac:dyDescent="0.3">
      <c r="D11" s="15"/>
      <c r="E11" s="15"/>
      <c r="F11" s="15"/>
      <c r="K11" s="3" t="s">
        <v>20</v>
      </c>
      <c r="L11" s="20"/>
    </row>
    <row r="12" spans="1:12" x14ac:dyDescent="0.3">
      <c r="D12" s="15"/>
      <c r="E12" s="15"/>
      <c r="F12" s="15"/>
      <c r="K12" s="3" t="s">
        <v>21</v>
      </c>
      <c r="L12" s="20">
        <f>SUM(F3:F4)</f>
        <v>0</v>
      </c>
    </row>
    <row r="13" spans="1:12" ht="15" customHeight="1" thickBot="1" x14ac:dyDescent="0.35">
      <c r="D13" s="15"/>
      <c r="E13" s="15"/>
      <c r="F13" s="15"/>
      <c r="K13" s="9" t="s">
        <v>22</v>
      </c>
      <c r="L13" s="20">
        <f>((L9+L10+L11+L12)*18)/100</f>
        <v>0</v>
      </c>
    </row>
    <row r="14" spans="1:12" ht="15" customHeight="1" thickTop="1" x14ac:dyDescent="0.3">
      <c r="D14" s="15"/>
      <c r="E14" s="15"/>
      <c r="F14" s="15"/>
      <c r="K14" s="11" t="s">
        <v>23</v>
      </c>
      <c r="L14" s="22">
        <f>L9+L13+L10+L11+L12</f>
        <v>0</v>
      </c>
    </row>
    <row r="15" spans="1:12" x14ac:dyDescent="0.3">
      <c r="D15" s="15"/>
      <c r="E15" s="15"/>
      <c r="F15" s="15"/>
      <c r="K15" s="5" t="s">
        <v>24</v>
      </c>
      <c r="L15" s="23">
        <f>L7+L10+L11+L12+(((L7+L10++L12)*18)/100)</f>
        <v>0</v>
      </c>
    </row>
    <row r="16" spans="1:12" ht="15" customHeight="1" thickBot="1" x14ac:dyDescent="0.35">
      <c r="D16" s="15"/>
      <c r="E16" s="15"/>
      <c r="F16" s="15"/>
      <c r="K16" s="13" t="s">
        <v>25</v>
      </c>
      <c r="L16" s="24">
        <f>L15-L14</f>
        <v>0</v>
      </c>
    </row>
    <row r="17" spans="4:12" ht="15" customHeight="1" thickTop="1" x14ac:dyDescent="0.3">
      <c r="D17" s="15"/>
      <c r="E17" s="15"/>
      <c r="F17" s="15"/>
      <c r="K17" s="3"/>
      <c r="L17" s="14"/>
    </row>
    <row r="18" spans="4:12" x14ac:dyDescent="0.3">
      <c r="D18" s="15"/>
      <c r="E18" s="15"/>
      <c r="F18" s="15"/>
    </row>
    <row r="19" spans="4:12" x14ac:dyDescent="0.3">
      <c r="D19" s="15"/>
      <c r="E19" s="15"/>
      <c r="F19" s="15"/>
    </row>
    <row r="20" spans="4:12" ht="15" customHeight="1" x14ac:dyDescent="0.3">
      <c r="D20" s="15"/>
      <c r="E20" s="15"/>
      <c r="F20" s="15"/>
    </row>
    <row r="21" spans="4:12" ht="15" customHeight="1" x14ac:dyDescent="0.3">
      <c r="D21" s="15"/>
      <c r="E21" s="15"/>
      <c r="F21" s="15"/>
    </row>
    <row r="22" spans="4:12" x14ac:dyDescent="0.3">
      <c r="D22" s="15"/>
      <c r="E22" s="15"/>
      <c r="F22" s="15"/>
    </row>
    <row r="23" spans="4:12" x14ac:dyDescent="0.3">
      <c r="D23" s="15"/>
      <c r="E23" s="15"/>
      <c r="F23" s="15"/>
    </row>
    <row r="24" spans="4:12" x14ac:dyDescent="0.3">
      <c r="D24" s="15"/>
      <c r="E24" s="15"/>
      <c r="F24" s="15"/>
    </row>
    <row r="25" spans="4:12" x14ac:dyDescent="0.3">
      <c r="D25" s="15"/>
      <c r="E25" s="15"/>
      <c r="F25" s="15"/>
    </row>
    <row r="26" spans="4:12" x14ac:dyDescent="0.3">
      <c r="D26" s="15"/>
      <c r="E26" s="15"/>
      <c r="F26" s="15"/>
    </row>
    <row r="27" spans="4:12" x14ac:dyDescent="0.3">
      <c r="D27" s="15"/>
      <c r="E27" s="15"/>
      <c r="F27" s="15"/>
    </row>
    <row r="28" spans="4:12" x14ac:dyDescent="0.3">
      <c r="D28" s="15"/>
      <c r="E28" s="15"/>
      <c r="F28" s="15"/>
    </row>
    <row r="29" spans="4:12" x14ac:dyDescent="0.3">
      <c r="D29" s="15"/>
      <c r="E29" s="15"/>
      <c r="F29" s="15"/>
    </row>
    <row r="30" spans="4:12" x14ac:dyDescent="0.3">
      <c r="D30" s="15"/>
      <c r="E30" s="15"/>
      <c r="F30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5E29E-F55B-4724-95B4-791438020EFB}">
  <sheetPr codeName="Sheet6"/>
  <dimension ref="A3:L31"/>
  <sheetViews>
    <sheetView workbookViewId="0">
      <pane ySplit="3" topLeftCell="A4" activePane="bottomLeft" state="frozen"/>
      <selection pane="bottomLeft" activeCell="L10" sqref="L10"/>
    </sheetView>
  </sheetViews>
  <sheetFormatPr defaultRowHeight="14.4" x14ac:dyDescent="0.3"/>
  <cols>
    <col min="1" max="1" width="11.88671875" customWidth="1"/>
    <col min="2" max="2" width="15" customWidth="1"/>
    <col min="3" max="3" width="5.109375" customWidth="1"/>
    <col min="4" max="4" width="14.44140625" customWidth="1"/>
    <col min="5" max="5" width="13.77734375" customWidth="1"/>
    <col min="6" max="6" width="15.33203125" customWidth="1"/>
    <col min="7" max="7" width="12.77734375" customWidth="1"/>
    <col min="11" max="11" width="19" customWidth="1"/>
    <col min="12" max="12" width="17.88671875" customWidth="1"/>
  </cols>
  <sheetData>
    <row r="3" spans="1:12" x14ac:dyDescent="0.3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1" t="s">
        <v>13</v>
      </c>
      <c r="G3" s="1"/>
    </row>
    <row r="4" spans="1:12" x14ac:dyDescent="0.3">
      <c r="D4" s="15"/>
      <c r="E4" s="15"/>
      <c r="F4" s="15"/>
    </row>
    <row r="5" spans="1:12" x14ac:dyDescent="0.3">
      <c r="D5" s="15"/>
      <c r="E5" s="15"/>
      <c r="F5" s="15"/>
    </row>
    <row r="6" spans="1:12" ht="15" customHeight="1" thickBot="1" x14ac:dyDescent="0.35">
      <c r="D6" s="15"/>
      <c r="E6" s="15"/>
      <c r="F6" s="15"/>
      <c r="K6" s="9" t="s">
        <v>15</v>
      </c>
      <c r="L6" s="10"/>
    </row>
    <row r="7" spans="1:12" ht="15" customHeight="1" thickTop="1" x14ac:dyDescent="0.3">
      <c r="D7" s="15"/>
      <c r="E7" s="15"/>
      <c r="F7" s="15"/>
      <c r="K7" s="3" t="s">
        <v>16</v>
      </c>
      <c r="L7" s="20">
        <f>SUM(E3:E4)</f>
        <v>0</v>
      </c>
    </row>
    <row r="8" spans="1:12" x14ac:dyDescent="0.3">
      <c r="D8" s="15"/>
      <c r="E8" s="15"/>
      <c r="F8" s="15"/>
      <c r="K8" s="4" t="s">
        <v>17</v>
      </c>
      <c r="L8" s="20">
        <f>(L7*'Client Master'!L8)/100</f>
        <v>0</v>
      </c>
    </row>
    <row r="9" spans="1:12" x14ac:dyDescent="0.3">
      <c r="D9" s="15"/>
      <c r="E9" s="15"/>
      <c r="F9" s="15"/>
      <c r="K9" s="3" t="s">
        <v>18</v>
      </c>
      <c r="L9" s="20">
        <f>L7-L8</f>
        <v>0</v>
      </c>
    </row>
    <row r="10" spans="1:12" x14ac:dyDescent="0.3">
      <c r="D10" s="15"/>
      <c r="E10" s="15"/>
      <c r="F10" s="15"/>
      <c r="K10" s="3" t="s">
        <v>19</v>
      </c>
      <c r="L10" s="20"/>
    </row>
    <row r="11" spans="1:12" x14ac:dyDescent="0.3">
      <c r="D11" s="15"/>
      <c r="E11" s="15"/>
      <c r="F11" s="15"/>
      <c r="K11" s="3" t="s">
        <v>20</v>
      </c>
      <c r="L11" s="20"/>
    </row>
    <row r="12" spans="1:12" x14ac:dyDescent="0.3">
      <c r="D12" s="15"/>
      <c r="E12" s="15"/>
      <c r="F12" s="15"/>
      <c r="K12" s="3" t="s">
        <v>21</v>
      </c>
      <c r="L12" s="20">
        <f>SUM(F3:F4)</f>
        <v>0</v>
      </c>
    </row>
    <row r="13" spans="1:12" ht="15" customHeight="1" thickBot="1" x14ac:dyDescent="0.35">
      <c r="D13" s="15"/>
      <c r="E13" s="15"/>
      <c r="F13" s="15"/>
      <c r="K13" s="9" t="s">
        <v>22</v>
      </c>
      <c r="L13" s="20">
        <f>((L9+L10+L11+L12)*18)/100</f>
        <v>0</v>
      </c>
    </row>
    <row r="14" spans="1:12" ht="15" customHeight="1" thickTop="1" x14ac:dyDescent="0.3">
      <c r="D14" s="15"/>
      <c r="E14" s="15"/>
      <c r="F14" s="15"/>
      <c r="K14" s="11" t="s">
        <v>23</v>
      </c>
      <c r="L14" s="22">
        <f>L9+L13+L10+L11+L12</f>
        <v>0</v>
      </c>
    </row>
    <row r="15" spans="1:12" x14ac:dyDescent="0.3">
      <c r="D15" s="15"/>
      <c r="E15" s="15"/>
      <c r="F15" s="15"/>
      <c r="K15" s="5" t="s">
        <v>24</v>
      </c>
      <c r="L15" s="23">
        <f>L7+L10+L11+L12+(((L7+L10++L12)*18)/100)</f>
        <v>0</v>
      </c>
    </row>
    <row r="16" spans="1:12" ht="15" customHeight="1" thickBot="1" x14ac:dyDescent="0.35">
      <c r="D16" s="15"/>
      <c r="E16" s="15"/>
      <c r="F16" s="15"/>
      <c r="K16" s="13" t="s">
        <v>25</v>
      </c>
      <c r="L16" s="24">
        <f>L15-L14</f>
        <v>0</v>
      </c>
    </row>
    <row r="17" spans="4:12" ht="15" customHeight="1" thickTop="1" x14ac:dyDescent="0.3">
      <c r="D17" s="15"/>
      <c r="E17" s="15"/>
      <c r="F17" s="15"/>
      <c r="K17" s="3"/>
      <c r="L17" s="14"/>
    </row>
    <row r="18" spans="4:12" x14ac:dyDescent="0.3">
      <c r="D18" s="15"/>
      <c r="E18" s="15"/>
      <c r="F18" s="15"/>
    </row>
    <row r="19" spans="4:12" x14ac:dyDescent="0.3">
      <c r="D19" s="15"/>
      <c r="E19" s="15"/>
      <c r="F19" s="15"/>
    </row>
    <row r="20" spans="4:12" ht="15" customHeight="1" x14ac:dyDescent="0.3">
      <c r="D20" s="15"/>
      <c r="E20" s="15"/>
      <c r="F20" s="15"/>
    </row>
    <row r="21" spans="4:12" ht="15" customHeight="1" x14ac:dyDescent="0.3">
      <c r="D21" s="15"/>
      <c r="E21" s="15"/>
      <c r="F21" s="15"/>
    </row>
    <row r="22" spans="4:12" x14ac:dyDescent="0.3">
      <c r="D22" s="15"/>
      <c r="E22" s="15"/>
      <c r="F22" s="15"/>
    </row>
    <row r="23" spans="4:12" x14ac:dyDescent="0.3">
      <c r="D23" s="15"/>
      <c r="E23" s="15"/>
      <c r="F23" s="15"/>
    </row>
    <row r="24" spans="4:12" x14ac:dyDescent="0.3">
      <c r="D24" s="15"/>
      <c r="E24" s="15"/>
      <c r="F24" s="15"/>
    </row>
    <row r="25" spans="4:12" x14ac:dyDescent="0.3">
      <c r="D25" s="15"/>
      <c r="E25" s="15"/>
      <c r="F25" s="15"/>
    </row>
    <row r="26" spans="4:12" x14ac:dyDescent="0.3">
      <c r="D26" s="15"/>
      <c r="E26" s="15"/>
      <c r="F26" s="15"/>
    </row>
    <row r="27" spans="4:12" x14ac:dyDescent="0.3">
      <c r="D27" s="15"/>
      <c r="E27" s="15"/>
      <c r="F27" s="15"/>
    </row>
    <row r="28" spans="4:12" x14ac:dyDescent="0.3">
      <c r="D28" s="15"/>
      <c r="E28" s="15"/>
      <c r="F28" s="15"/>
    </row>
    <row r="29" spans="4:12" x14ac:dyDescent="0.3">
      <c r="D29" s="15"/>
      <c r="E29" s="15"/>
      <c r="F29" s="15"/>
    </row>
    <row r="30" spans="4:12" x14ac:dyDescent="0.3">
      <c r="D30" s="15"/>
      <c r="E30" s="15"/>
      <c r="F30" s="15"/>
    </row>
    <row r="31" spans="4:12" x14ac:dyDescent="0.3">
      <c r="D31" s="15"/>
      <c r="E31" s="15"/>
      <c r="F31" s="1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EEF4-F1F2-4036-A464-C64A455B4489}">
  <sheetPr codeName="Sheet7"/>
  <dimension ref="A1:T310"/>
  <sheetViews>
    <sheetView workbookViewId="0">
      <pane ySplit="4" topLeftCell="A20" activePane="bottomLeft" state="frozen"/>
      <selection pane="bottomLeft" activeCell="M7" sqref="M7"/>
    </sheetView>
  </sheetViews>
  <sheetFormatPr defaultRowHeight="14.4" x14ac:dyDescent="0.3"/>
  <cols>
    <col min="1" max="1" width="11.88671875" customWidth="1"/>
    <col min="2" max="2" width="15" customWidth="1"/>
    <col min="3" max="3" width="5.109375" customWidth="1"/>
    <col min="4" max="7" width="14.44140625" customWidth="1"/>
    <col min="11" max="11" width="20.5546875" customWidth="1"/>
    <col min="12" max="12" width="17.88671875" customWidth="1"/>
    <col min="13" max="15" width="13.33203125" customWidth="1"/>
  </cols>
  <sheetData>
    <row r="1" spans="1:20" x14ac:dyDescent="0.3">
      <c r="A1" s="16" t="s">
        <v>0</v>
      </c>
      <c r="B1" s="62">
        <f>'Client Master'!B1</f>
        <v>0</v>
      </c>
      <c r="C1" s="63"/>
      <c r="D1" s="63"/>
      <c r="E1" s="63"/>
      <c r="F1" s="63"/>
      <c r="G1" s="16" t="s">
        <v>1</v>
      </c>
      <c r="H1" s="64">
        <f>'Client Master'!H1</f>
        <v>0</v>
      </c>
      <c r="I1" s="63"/>
      <c r="J1" s="63"/>
      <c r="K1" s="65" t="s">
        <v>2</v>
      </c>
      <c r="L1" s="63"/>
      <c r="M1" s="62">
        <f>'Client Master'!M1</f>
        <v>0</v>
      </c>
      <c r="N1" s="63"/>
    </row>
    <row r="2" spans="1:20" x14ac:dyDescent="0.3">
      <c r="A2" s="16" t="s">
        <v>3</v>
      </c>
      <c r="B2" s="62">
        <f>'Client Master'!B2</f>
        <v>0</v>
      </c>
      <c r="C2" s="63"/>
      <c r="D2" s="63"/>
      <c r="E2" s="63"/>
      <c r="F2" s="63"/>
      <c r="G2" s="16" t="s">
        <v>4</v>
      </c>
      <c r="H2" s="64">
        <f>'Client Master'!H2</f>
        <v>0</v>
      </c>
      <c r="I2" s="63"/>
      <c r="J2" s="63"/>
      <c r="K2" s="65" t="s">
        <v>5</v>
      </c>
      <c r="L2" s="63"/>
      <c r="M2" s="62">
        <f>'Client Master'!M2</f>
        <v>30</v>
      </c>
      <c r="N2" s="63"/>
    </row>
    <row r="3" spans="1:20" x14ac:dyDescent="0.3">
      <c r="A3" s="16" t="s">
        <v>6</v>
      </c>
      <c r="B3" s="62">
        <f>'Client Master'!B3</f>
        <v>0</v>
      </c>
      <c r="C3" s="63"/>
      <c r="D3" s="63"/>
      <c r="E3" s="63"/>
      <c r="F3" s="63"/>
      <c r="G3" s="16" t="s">
        <v>7</v>
      </c>
      <c r="H3" s="64">
        <f>'Client Master'!H3</f>
        <v>0</v>
      </c>
      <c r="I3" s="63"/>
      <c r="J3" s="63"/>
      <c r="K3" s="65" t="s">
        <v>38</v>
      </c>
      <c r="L3" s="63"/>
      <c r="M3" s="62">
        <f>'Client Master'!M3</f>
        <v>0</v>
      </c>
      <c r="N3" s="63"/>
    </row>
    <row r="4" spans="1:20" s="2" customFormat="1" ht="18.600000000000001" customHeight="1" x14ac:dyDescent="0.3">
      <c r="A4" s="50" t="s">
        <v>8</v>
      </c>
      <c r="B4" s="50" t="s">
        <v>9</v>
      </c>
      <c r="C4" s="50" t="s">
        <v>10</v>
      </c>
      <c r="D4" s="50" t="s">
        <v>11</v>
      </c>
      <c r="E4" s="50" t="s">
        <v>12</v>
      </c>
      <c r="F4" s="50" t="s">
        <v>13</v>
      </c>
      <c r="G4" s="50" t="s">
        <v>41</v>
      </c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0" x14ac:dyDescent="0.3">
      <c r="D5" s="15"/>
      <c r="E5" s="15"/>
      <c r="F5" s="15"/>
    </row>
    <row r="6" spans="1:20" x14ac:dyDescent="0.3">
      <c r="D6" s="15"/>
      <c r="E6" s="15"/>
      <c r="F6" s="15"/>
      <c r="K6" s="70"/>
      <c r="L6" s="70"/>
    </row>
    <row r="7" spans="1:20" ht="15" thickBot="1" x14ac:dyDescent="0.35">
      <c r="D7" s="15"/>
      <c r="E7" s="15"/>
      <c r="F7" s="15"/>
      <c r="K7" s="21" t="s">
        <v>32</v>
      </c>
      <c r="L7" s="10">
        <f>'Client Master'!M1</f>
        <v>0</v>
      </c>
    </row>
    <row r="8" spans="1:20" ht="15" customHeight="1" thickTop="1" thickBot="1" x14ac:dyDescent="0.35">
      <c r="D8" s="15"/>
      <c r="E8" s="15"/>
      <c r="F8" s="15"/>
      <c r="K8" s="3" t="s">
        <v>16</v>
      </c>
      <c r="L8" s="20">
        <f>SUM(E4:E4)</f>
        <v>0</v>
      </c>
      <c r="N8" s="10"/>
      <c r="O8" s="10"/>
    </row>
    <row r="9" spans="1:20" ht="15" customHeight="1" thickTop="1" thickBot="1" x14ac:dyDescent="0.35">
      <c r="D9" s="15"/>
      <c r="E9" s="15"/>
      <c r="F9" s="15"/>
      <c r="K9" s="4" t="s">
        <v>17</v>
      </c>
      <c r="L9" s="20">
        <f>(L8*L7)/100</f>
        <v>0</v>
      </c>
      <c r="N9" s="71" t="s">
        <v>40</v>
      </c>
      <c r="O9" s="72"/>
      <c r="P9" s="57"/>
    </row>
    <row r="10" spans="1:20" ht="15" thickTop="1" x14ac:dyDescent="0.3">
      <c r="D10" s="15"/>
      <c r="E10" s="15"/>
      <c r="F10" s="15"/>
      <c r="K10" s="3" t="s">
        <v>18</v>
      </c>
      <c r="L10" s="20">
        <f>L8-L9</f>
        <v>0</v>
      </c>
      <c r="N10" s="55" t="s">
        <v>44</v>
      </c>
      <c r="O10" s="14">
        <f>'Client Master'!L12+'Client Master'!L13</f>
        <v>0</v>
      </c>
      <c r="P10" s="57"/>
    </row>
    <row r="11" spans="1:20" ht="15" thickBot="1" x14ac:dyDescent="0.35">
      <c r="D11" s="15"/>
      <c r="E11" s="15"/>
      <c r="F11" s="15"/>
      <c r="K11" t="s">
        <v>40</v>
      </c>
      <c r="L11" s="20">
        <f>O10-O11</f>
        <v>0</v>
      </c>
      <c r="N11" s="56" t="s">
        <v>45</v>
      </c>
      <c r="O11" s="58">
        <v>0</v>
      </c>
    </row>
    <row r="12" spans="1:20" ht="15.6" thickTop="1" thickBot="1" x14ac:dyDescent="0.35">
      <c r="D12" s="15"/>
      <c r="E12" s="15"/>
      <c r="F12" s="15"/>
      <c r="H12" t="s">
        <v>37</v>
      </c>
      <c r="K12" s="9" t="s">
        <v>22</v>
      </c>
      <c r="L12" s="20">
        <f>(L10*18)/100</f>
        <v>0</v>
      </c>
    </row>
    <row r="13" spans="1:20" ht="15" thickTop="1" x14ac:dyDescent="0.3">
      <c r="D13" s="15"/>
      <c r="E13" s="15"/>
      <c r="F13" s="15"/>
      <c r="K13" s="11" t="s">
        <v>23</v>
      </c>
      <c r="L13" s="25">
        <f>L10+L12</f>
        <v>0</v>
      </c>
    </row>
    <row r="14" spans="1:20" x14ac:dyDescent="0.3">
      <c r="D14" s="15"/>
      <c r="E14" s="15"/>
      <c r="F14" s="15"/>
      <c r="K14" s="5" t="s">
        <v>24</v>
      </c>
      <c r="L14" s="23">
        <f>L8+((L8*18)/100)</f>
        <v>0</v>
      </c>
      <c r="O14" t="s">
        <v>37</v>
      </c>
    </row>
    <row r="15" spans="1:20" ht="15" customHeight="1" thickBot="1" x14ac:dyDescent="0.35">
      <c r="D15" s="15"/>
      <c r="E15" s="15"/>
      <c r="F15" s="15"/>
      <c r="K15" s="13" t="s">
        <v>25</v>
      </c>
      <c r="L15" s="24">
        <f>L14-L13</f>
        <v>0</v>
      </c>
    </row>
    <row r="16" spans="1:20" ht="15" customHeight="1" thickTop="1" x14ac:dyDescent="0.3">
      <c r="D16" s="15"/>
      <c r="E16" s="15"/>
      <c r="F16" s="15"/>
      <c r="K16" s="3"/>
      <c r="L16" s="14"/>
      <c r="M16" s="36"/>
    </row>
    <row r="17" spans="4:15" x14ac:dyDescent="0.3">
      <c r="D17" s="15"/>
      <c r="E17" s="15"/>
      <c r="F17" s="15"/>
      <c r="K17" s="66" t="s">
        <v>26</v>
      </c>
      <c r="L17" s="68" t="s">
        <v>42</v>
      </c>
      <c r="M17" s="68"/>
      <c r="N17" s="68"/>
    </row>
    <row r="18" spans="4:15" ht="15" customHeight="1" thickBot="1" x14ac:dyDescent="0.35">
      <c r="D18" s="15"/>
      <c r="E18" s="15"/>
      <c r="F18" s="15"/>
      <c r="K18" s="67"/>
      <c r="L18" s="69"/>
      <c r="M18" s="69"/>
      <c r="N18" s="69"/>
      <c r="O18" s="10"/>
    </row>
    <row r="19" spans="4:15" ht="15" customHeight="1" thickTop="1" thickBot="1" x14ac:dyDescent="0.35">
      <c r="D19" s="15"/>
      <c r="E19" s="15"/>
      <c r="F19" s="15"/>
      <c r="J19" s="29"/>
      <c r="K19" s="9"/>
      <c r="L19" s="31" t="s">
        <v>39</v>
      </c>
      <c r="M19" s="43" t="s">
        <v>33</v>
      </c>
      <c r="N19" s="26" t="s">
        <v>34</v>
      </c>
      <c r="O19" s="32" t="s">
        <v>35</v>
      </c>
    </row>
    <row r="20" spans="4:15" ht="15" thickTop="1" x14ac:dyDescent="0.3">
      <c r="D20" s="15"/>
      <c r="E20" s="15"/>
      <c r="F20" s="15"/>
      <c r="J20" s="29"/>
      <c r="K20" s="12" t="s">
        <v>27</v>
      </c>
      <c r="L20" s="33">
        <f>((('1st LOT'!L7*90)/100)-(((('1st LOT'!L7*90)/100)*'Client Master'!M3)/100)) + ((((('1st LOT'!L7*90)/100)-(((('1st LOT'!L7*90)/100)*'Client Master'!M3)/100))*18 )/100)</f>
        <v>0</v>
      </c>
      <c r="M20" s="59">
        <f>L13</f>
        <v>0</v>
      </c>
      <c r="N20" s="38" t="s">
        <v>43</v>
      </c>
      <c r="O20" s="42" t="s">
        <v>43</v>
      </c>
    </row>
    <row r="21" spans="4:15" x14ac:dyDescent="0.3">
      <c r="D21" s="15"/>
      <c r="E21" s="15"/>
      <c r="F21" s="15"/>
      <c r="J21" s="29"/>
      <c r="K21" s="6" t="s">
        <v>28</v>
      </c>
      <c r="L21" s="34">
        <f>((('2nd LOT'!L7*90)/100)-(((('2nd LOT'!L7*90)/100)*'Client Master'!M3)/100)) + ((((('2nd LOT'!L7*90)/100)-(((('2nd LOT'!L7*90)/100)*'Client Master'!M3)/100))*18 )/100)</f>
        <v>0</v>
      </c>
      <c r="M21" s="60"/>
      <c r="N21" s="37" t="s">
        <v>43</v>
      </c>
      <c r="O21" s="41" t="s">
        <v>43</v>
      </c>
    </row>
    <row r="22" spans="4:15" ht="15" customHeight="1" thickBot="1" x14ac:dyDescent="0.35">
      <c r="D22" s="15"/>
      <c r="E22" s="15"/>
      <c r="F22" s="15"/>
      <c r="J22" s="29"/>
      <c r="K22" s="7" t="s">
        <v>29</v>
      </c>
      <c r="L22" s="34">
        <f>((('3rd LOT'!L7*90)/100)-(((('3rd LOT'!L7*90)/100)*'Client Master'!M3)/100)) + ((((('3rd LOT'!L7*90)/100)-(((('3rd LOT'!L7*90)/100)*'Client Master'!M3)/100))*18 )/100)</f>
        <v>0</v>
      </c>
      <c r="M22" s="61"/>
      <c r="N22" s="39" t="s">
        <v>43</v>
      </c>
      <c r="O22" s="40" t="s">
        <v>43</v>
      </c>
    </row>
    <row r="23" spans="4:15" ht="15" customHeight="1" thickTop="1" x14ac:dyDescent="0.3">
      <c r="D23" s="15"/>
      <c r="E23" s="15"/>
      <c r="F23" s="15"/>
      <c r="J23" s="29"/>
      <c r="K23" s="8" t="s">
        <v>30</v>
      </c>
      <c r="L23" s="44">
        <f>((('ON HOLD'!L7*90)/100)-(((('ON HOLD'!L7*90)/100)*'Client Master'!M3)/100)) + ((((('ON HOLD'!L7*90)/100)-(((('ON HOLD'!L7*90)/100)*'Client Master'!M3)/100))*18 )/100)</f>
        <v>0</v>
      </c>
    </row>
    <row r="24" spans="4:15" ht="15" thickBot="1" x14ac:dyDescent="0.35">
      <c r="D24" s="15"/>
      <c r="E24" s="15"/>
      <c r="F24" s="15"/>
      <c r="J24" s="29"/>
      <c r="K24" s="30" t="s">
        <v>31</v>
      </c>
      <c r="L24" s="45">
        <f>(((CANCELLED!L7*90)/100)-((((CANCELLED!L7*90)/100)*'Client Master'!M3)/100))+(((((CANCELLED!L7*90)/100)-((((CANCELLED!L7*90)/100)*'Client Master'!M3)/100))*18)/100)</f>
        <v>0</v>
      </c>
    </row>
    <row r="25" spans="4:15" ht="15" thickTop="1" x14ac:dyDescent="0.3">
      <c r="D25" s="15"/>
      <c r="E25" s="15"/>
      <c r="F25" s="15"/>
      <c r="L25" s="36"/>
      <c r="N25" s="20"/>
    </row>
    <row r="26" spans="4:15" x14ac:dyDescent="0.3">
      <c r="D26" s="15"/>
      <c r="E26" s="15"/>
      <c r="F26" s="15"/>
      <c r="M26" s="19"/>
      <c r="N26" s="19"/>
      <c r="O26" s="19"/>
    </row>
    <row r="27" spans="4:15" x14ac:dyDescent="0.3">
      <c r="D27" s="15"/>
      <c r="E27" s="15"/>
      <c r="F27" s="15"/>
      <c r="M27" s="19"/>
      <c r="N27" s="19"/>
      <c r="O27" s="19"/>
    </row>
    <row r="28" spans="4:15" x14ac:dyDescent="0.3">
      <c r="D28" s="15"/>
      <c r="E28" s="15"/>
      <c r="F28" s="15"/>
    </row>
    <row r="29" spans="4:15" x14ac:dyDescent="0.3">
      <c r="D29" s="15"/>
      <c r="E29" s="15"/>
      <c r="F29" s="15"/>
    </row>
    <row r="30" spans="4:15" x14ac:dyDescent="0.3">
      <c r="D30" s="15"/>
      <c r="E30" s="15"/>
      <c r="F30" s="15"/>
      <c r="H30" t="s">
        <v>37</v>
      </c>
    </row>
    <row r="31" spans="4:15" x14ac:dyDescent="0.3">
      <c r="D31" s="15"/>
      <c r="E31" s="15"/>
      <c r="F31" s="15"/>
    </row>
    <row r="32" spans="4:15" x14ac:dyDescent="0.3">
      <c r="D32" s="15"/>
      <c r="E32" s="15"/>
      <c r="F32" s="15"/>
    </row>
    <row r="33" spans="3:6" x14ac:dyDescent="0.3">
      <c r="C33" s="17"/>
      <c r="D33" s="18"/>
      <c r="E33" s="18"/>
      <c r="F33" s="18"/>
    </row>
    <row r="34" spans="3:6" x14ac:dyDescent="0.3">
      <c r="D34" s="15"/>
      <c r="E34" s="15"/>
      <c r="F34" s="15"/>
    </row>
    <row r="35" spans="3:6" x14ac:dyDescent="0.3">
      <c r="D35" s="15"/>
      <c r="E35" s="15"/>
      <c r="F35" s="15"/>
    </row>
    <row r="36" spans="3:6" x14ac:dyDescent="0.3">
      <c r="D36" s="15"/>
      <c r="E36" s="15"/>
      <c r="F36" s="15"/>
    </row>
    <row r="37" spans="3:6" x14ac:dyDescent="0.3">
      <c r="D37" s="15"/>
      <c r="E37" s="15"/>
      <c r="F37" s="15"/>
    </row>
    <row r="38" spans="3:6" x14ac:dyDescent="0.3">
      <c r="D38" s="15"/>
      <c r="E38" s="15"/>
      <c r="F38" s="15"/>
    </row>
    <row r="39" spans="3:6" x14ac:dyDescent="0.3">
      <c r="D39" s="15"/>
      <c r="E39" s="15"/>
      <c r="F39" s="15"/>
    </row>
    <row r="40" spans="3:6" x14ac:dyDescent="0.3">
      <c r="D40" s="15"/>
      <c r="E40" s="15"/>
      <c r="F40" s="15"/>
    </row>
    <row r="41" spans="3:6" x14ac:dyDescent="0.3">
      <c r="D41" s="15"/>
      <c r="E41" s="15"/>
      <c r="F41" s="15"/>
    </row>
    <row r="42" spans="3:6" x14ac:dyDescent="0.3">
      <c r="D42" s="15"/>
      <c r="E42" s="15"/>
      <c r="F42" s="15"/>
    </row>
    <row r="43" spans="3:6" x14ac:dyDescent="0.3">
      <c r="D43" s="15"/>
      <c r="E43" s="15"/>
      <c r="F43" s="15"/>
    </row>
    <row r="44" spans="3:6" x14ac:dyDescent="0.3">
      <c r="D44" s="15"/>
      <c r="E44" s="15"/>
      <c r="F44" s="15"/>
    </row>
    <row r="45" spans="3:6" x14ac:dyDescent="0.3">
      <c r="D45" s="15"/>
      <c r="E45" s="15"/>
      <c r="F45" s="15"/>
    </row>
    <row r="46" spans="3:6" x14ac:dyDescent="0.3">
      <c r="D46" s="15"/>
      <c r="E46" s="15"/>
      <c r="F46" s="15"/>
    </row>
    <row r="47" spans="3:6" x14ac:dyDescent="0.3">
      <c r="D47" s="15"/>
      <c r="E47" s="15"/>
      <c r="F47" s="15"/>
    </row>
    <row r="48" spans="3:6" x14ac:dyDescent="0.3">
      <c r="D48" s="15"/>
      <c r="E48" s="15"/>
      <c r="F48" s="15"/>
    </row>
    <row r="49" spans="4:6" x14ac:dyDescent="0.3">
      <c r="D49" s="15"/>
      <c r="E49" s="15"/>
      <c r="F49" s="15"/>
    </row>
    <row r="50" spans="4:6" x14ac:dyDescent="0.3">
      <c r="D50" s="15"/>
      <c r="E50" s="15"/>
      <c r="F50" s="15"/>
    </row>
    <row r="51" spans="4:6" x14ac:dyDescent="0.3">
      <c r="D51" s="15"/>
      <c r="E51" s="15"/>
      <c r="F51" s="15"/>
    </row>
    <row r="52" spans="4:6" x14ac:dyDescent="0.3">
      <c r="D52" s="15"/>
      <c r="E52" s="15"/>
      <c r="F52" s="15"/>
    </row>
    <row r="53" spans="4:6" x14ac:dyDescent="0.3">
      <c r="D53" s="15"/>
      <c r="E53" s="15"/>
      <c r="F53" s="15"/>
    </row>
    <row r="54" spans="4:6" x14ac:dyDescent="0.3">
      <c r="D54" s="15"/>
      <c r="E54" s="15"/>
      <c r="F54" s="15"/>
    </row>
    <row r="55" spans="4:6" x14ac:dyDescent="0.3">
      <c r="D55" s="15"/>
      <c r="E55" s="15"/>
      <c r="F55" s="15"/>
    </row>
    <row r="56" spans="4:6" x14ac:dyDescent="0.3">
      <c r="D56" s="15"/>
      <c r="E56" s="15"/>
      <c r="F56" s="15"/>
    </row>
    <row r="57" spans="4:6" x14ac:dyDescent="0.3">
      <c r="D57" s="15"/>
      <c r="E57" s="15"/>
      <c r="F57" s="15"/>
    </row>
    <row r="58" spans="4:6" x14ac:dyDescent="0.3">
      <c r="D58" s="15"/>
      <c r="E58" s="15"/>
      <c r="F58" s="15"/>
    </row>
    <row r="59" spans="4:6" x14ac:dyDescent="0.3">
      <c r="D59" s="15"/>
      <c r="E59" s="15"/>
      <c r="F59" s="15"/>
    </row>
    <row r="60" spans="4:6" x14ac:dyDescent="0.3">
      <c r="D60" s="15"/>
      <c r="E60" s="15"/>
      <c r="F60" s="15"/>
    </row>
    <row r="61" spans="4:6" x14ac:dyDescent="0.3">
      <c r="D61" s="15"/>
      <c r="E61" s="15"/>
      <c r="F61" s="15"/>
    </row>
    <row r="62" spans="4:6" x14ac:dyDescent="0.3">
      <c r="D62" s="15"/>
      <c r="E62" s="15"/>
      <c r="F62" s="15"/>
    </row>
    <row r="63" spans="4:6" x14ac:dyDescent="0.3">
      <c r="D63" s="15"/>
      <c r="E63" s="15"/>
      <c r="F63" s="15"/>
    </row>
    <row r="64" spans="4:6" x14ac:dyDescent="0.3">
      <c r="D64" s="15"/>
      <c r="E64" s="15"/>
      <c r="F64" s="15"/>
    </row>
    <row r="65" spans="4:6" x14ac:dyDescent="0.3">
      <c r="D65" s="15"/>
      <c r="E65" s="15"/>
      <c r="F65" s="15"/>
    </row>
    <row r="66" spans="4:6" x14ac:dyDescent="0.3">
      <c r="D66" s="15"/>
      <c r="E66" s="15"/>
      <c r="F66" s="15"/>
    </row>
    <row r="67" spans="4:6" x14ac:dyDescent="0.3">
      <c r="D67" s="15"/>
      <c r="E67" s="15"/>
      <c r="F67" s="15"/>
    </row>
    <row r="68" spans="4:6" x14ac:dyDescent="0.3">
      <c r="D68" s="15"/>
      <c r="E68" s="15"/>
      <c r="F68" s="15"/>
    </row>
    <row r="69" spans="4:6" x14ac:dyDescent="0.3">
      <c r="D69" s="15"/>
      <c r="E69" s="15"/>
      <c r="F69" s="15"/>
    </row>
    <row r="70" spans="4:6" x14ac:dyDescent="0.3">
      <c r="D70" s="15"/>
      <c r="E70" s="15"/>
      <c r="F70" s="15"/>
    </row>
    <row r="71" spans="4:6" x14ac:dyDescent="0.3">
      <c r="D71" s="15"/>
      <c r="E71" s="15"/>
      <c r="F71" s="15"/>
    </row>
    <row r="72" spans="4:6" x14ac:dyDescent="0.3">
      <c r="D72" s="15"/>
      <c r="E72" s="15"/>
      <c r="F72" s="15"/>
    </row>
    <row r="73" spans="4:6" x14ac:dyDescent="0.3">
      <c r="D73" s="15"/>
      <c r="E73" s="15"/>
      <c r="F73" s="15"/>
    </row>
    <row r="74" spans="4:6" x14ac:dyDescent="0.3">
      <c r="D74" s="15"/>
      <c r="E74" s="15"/>
      <c r="F74" s="15"/>
    </row>
    <row r="75" spans="4:6" x14ac:dyDescent="0.3">
      <c r="D75" s="15"/>
      <c r="E75" s="15"/>
      <c r="F75" s="15"/>
    </row>
    <row r="76" spans="4:6" x14ac:dyDescent="0.3">
      <c r="D76" s="15"/>
      <c r="E76" s="15"/>
      <c r="F76" s="15"/>
    </row>
    <row r="77" spans="4:6" x14ac:dyDescent="0.3">
      <c r="D77" s="15"/>
      <c r="E77" s="15"/>
      <c r="F77" s="15"/>
    </row>
    <row r="78" spans="4:6" x14ac:dyDescent="0.3">
      <c r="D78" s="15"/>
      <c r="E78" s="15"/>
      <c r="F78" s="15"/>
    </row>
    <row r="79" spans="4:6" x14ac:dyDescent="0.3">
      <c r="D79" s="15"/>
      <c r="E79" s="15"/>
      <c r="F79" s="15"/>
    </row>
    <row r="80" spans="4:6" x14ac:dyDescent="0.3">
      <c r="D80" s="15"/>
      <c r="E80" s="15"/>
      <c r="F80" s="15"/>
    </row>
    <row r="81" spans="4:6" x14ac:dyDescent="0.3">
      <c r="D81" s="15"/>
      <c r="E81" s="15"/>
      <c r="F81" s="15"/>
    </row>
    <row r="82" spans="4:6" x14ac:dyDescent="0.3">
      <c r="D82" s="15"/>
      <c r="E82" s="15"/>
      <c r="F82" s="15"/>
    </row>
    <row r="83" spans="4:6" x14ac:dyDescent="0.3">
      <c r="D83" s="15"/>
      <c r="E83" s="15"/>
      <c r="F83" s="15"/>
    </row>
    <row r="84" spans="4:6" x14ac:dyDescent="0.3">
      <c r="D84" s="15"/>
      <c r="E84" s="15"/>
      <c r="F84" s="15"/>
    </row>
    <row r="85" spans="4:6" x14ac:dyDescent="0.3">
      <c r="D85" s="15"/>
      <c r="E85" s="15"/>
      <c r="F85" s="15"/>
    </row>
    <row r="86" spans="4:6" x14ac:dyDescent="0.3">
      <c r="D86" s="15"/>
      <c r="E86" s="15"/>
      <c r="F86" s="15"/>
    </row>
    <row r="87" spans="4:6" x14ac:dyDescent="0.3">
      <c r="D87" s="15"/>
      <c r="E87" s="15"/>
      <c r="F87" s="15"/>
    </row>
    <row r="88" spans="4:6" x14ac:dyDescent="0.3">
      <c r="D88" s="15"/>
      <c r="E88" s="15"/>
      <c r="F88" s="15"/>
    </row>
    <row r="89" spans="4:6" x14ac:dyDescent="0.3">
      <c r="D89" s="15"/>
      <c r="E89" s="15"/>
      <c r="F89" s="15"/>
    </row>
    <row r="90" spans="4:6" x14ac:dyDescent="0.3">
      <c r="D90" s="15"/>
      <c r="E90" s="15"/>
      <c r="F90" s="15"/>
    </row>
    <row r="91" spans="4:6" x14ac:dyDescent="0.3">
      <c r="D91" s="15"/>
      <c r="E91" s="15"/>
      <c r="F91" s="15"/>
    </row>
    <row r="92" spans="4:6" x14ac:dyDescent="0.3">
      <c r="D92" s="15"/>
      <c r="E92" s="15"/>
      <c r="F92" s="15"/>
    </row>
    <row r="93" spans="4:6" x14ac:dyDescent="0.3">
      <c r="D93" s="15"/>
      <c r="E93" s="15"/>
      <c r="F93" s="15"/>
    </row>
    <row r="94" spans="4:6" x14ac:dyDescent="0.3">
      <c r="D94" s="15"/>
      <c r="E94" s="15"/>
      <c r="F94" s="15"/>
    </row>
    <row r="95" spans="4:6" x14ac:dyDescent="0.3">
      <c r="D95" s="15"/>
      <c r="E95" s="15"/>
      <c r="F95" s="15"/>
    </row>
    <row r="96" spans="4:6" x14ac:dyDescent="0.3">
      <c r="D96" s="15"/>
      <c r="E96" s="15"/>
      <c r="F96" s="15"/>
    </row>
    <row r="97" spans="4:6" x14ac:dyDescent="0.3">
      <c r="D97" s="15"/>
      <c r="E97" s="15"/>
      <c r="F97" s="15"/>
    </row>
    <row r="98" spans="4:6" x14ac:dyDescent="0.3">
      <c r="D98" s="15"/>
      <c r="E98" s="15"/>
      <c r="F98" s="15"/>
    </row>
    <row r="99" spans="4:6" x14ac:dyDescent="0.3">
      <c r="D99" s="15"/>
      <c r="E99" s="15"/>
      <c r="F99" s="15"/>
    </row>
    <row r="100" spans="4:6" x14ac:dyDescent="0.3">
      <c r="D100" s="15"/>
      <c r="E100" s="15"/>
      <c r="F100" s="15"/>
    </row>
    <row r="101" spans="4:6" x14ac:dyDescent="0.3">
      <c r="D101" s="15"/>
      <c r="E101" s="15"/>
      <c r="F101" s="15"/>
    </row>
    <row r="102" spans="4:6" x14ac:dyDescent="0.3">
      <c r="D102" s="15"/>
      <c r="E102" s="15"/>
      <c r="F102" s="15"/>
    </row>
    <row r="103" spans="4:6" x14ac:dyDescent="0.3">
      <c r="D103" s="15"/>
      <c r="E103" s="15"/>
      <c r="F103" s="15"/>
    </row>
    <row r="104" spans="4:6" x14ac:dyDescent="0.3">
      <c r="D104" s="15"/>
      <c r="E104" s="15"/>
      <c r="F104" s="15"/>
    </row>
    <row r="105" spans="4:6" x14ac:dyDescent="0.3">
      <c r="D105" s="15"/>
      <c r="E105" s="15"/>
      <c r="F105" s="15"/>
    </row>
    <row r="106" spans="4:6" x14ac:dyDescent="0.3">
      <c r="D106" s="15"/>
      <c r="E106" s="15"/>
      <c r="F106" s="15"/>
    </row>
    <row r="107" spans="4:6" x14ac:dyDescent="0.3">
      <c r="D107" s="15"/>
      <c r="E107" s="15"/>
      <c r="F107" s="15"/>
    </row>
    <row r="108" spans="4:6" x14ac:dyDescent="0.3">
      <c r="D108" s="15"/>
      <c r="E108" s="15"/>
      <c r="F108" s="15"/>
    </row>
    <row r="109" spans="4:6" x14ac:dyDescent="0.3">
      <c r="D109" s="15"/>
      <c r="E109" s="15"/>
      <c r="F109" s="15"/>
    </row>
    <row r="110" spans="4:6" x14ac:dyDescent="0.3">
      <c r="D110" s="15"/>
      <c r="E110" s="15"/>
      <c r="F110" s="15"/>
    </row>
    <row r="111" spans="4:6" x14ac:dyDescent="0.3">
      <c r="D111" s="15"/>
      <c r="E111" s="15"/>
      <c r="F111" s="15"/>
    </row>
    <row r="112" spans="4:6" x14ac:dyDescent="0.3">
      <c r="D112" s="15"/>
      <c r="E112" s="15"/>
      <c r="F112" s="15"/>
    </row>
    <row r="113" spans="4:6" x14ac:dyDescent="0.3">
      <c r="D113" s="15"/>
      <c r="E113" s="15"/>
      <c r="F113" s="15"/>
    </row>
    <row r="114" spans="4:6" x14ac:dyDescent="0.3">
      <c r="D114" s="15"/>
      <c r="E114" s="15"/>
      <c r="F114" s="15"/>
    </row>
    <row r="115" spans="4:6" x14ac:dyDescent="0.3">
      <c r="D115" s="15"/>
      <c r="E115" s="15"/>
      <c r="F115" s="15"/>
    </row>
    <row r="116" spans="4:6" x14ac:dyDescent="0.3">
      <c r="D116" s="15"/>
      <c r="E116" s="15"/>
      <c r="F116" s="15"/>
    </row>
    <row r="117" spans="4:6" x14ac:dyDescent="0.3">
      <c r="D117" s="15"/>
      <c r="E117" s="15"/>
      <c r="F117" s="15"/>
    </row>
    <row r="118" spans="4:6" x14ac:dyDescent="0.3">
      <c r="D118" s="15"/>
      <c r="E118" s="15"/>
      <c r="F118" s="15"/>
    </row>
    <row r="119" spans="4:6" x14ac:dyDescent="0.3">
      <c r="D119" s="15"/>
      <c r="E119" s="15"/>
      <c r="F119" s="15"/>
    </row>
    <row r="120" spans="4:6" x14ac:dyDescent="0.3">
      <c r="D120" s="15"/>
      <c r="E120" s="15"/>
      <c r="F120" s="15"/>
    </row>
    <row r="121" spans="4:6" x14ac:dyDescent="0.3">
      <c r="D121" s="15"/>
      <c r="E121" s="15"/>
      <c r="F121" s="15"/>
    </row>
    <row r="122" spans="4:6" x14ac:dyDescent="0.3">
      <c r="D122" s="15"/>
      <c r="E122" s="15"/>
      <c r="F122" s="15"/>
    </row>
    <row r="123" spans="4:6" x14ac:dyDescent="0.3">
      <c r="D123" s="15"/>
      <c r="E123" s="15"/>
      <c r="F123" s="15"/>
    </row>
    <row r="124" spans="4:6" x14ac:dyDescent="0.3">
      <c r="D124" s="15"/>
      <c r="E124" s="15"/>
      <c r="F124" s="15"/>
    </row>
    <row r="125" spans="4:6" x14ac:dyDescent="0.3">
      <c r="D125" s="15"/>
      <c r="E125" s="15"/>
      <c r="F125" s="15"/>
    </row>
    <row r="126" spans="4:6" x14ac:dyDescent="0.3">
      <c r="D126" s="15"/>
      <c r="E126" s="15"/>
      <c r="F126" s="15"/>
    </row>
    <row r="127" spans="4:6" x14ac:dyDescent="0.3">
      <c r="D127" s="15"/>
      <c r="E127" s="15"/>
      <c r="F127" s="15"/>
    </row>
    <row r="128" spans="4:6" x14ac:dyDescent="0.3">
      <c r="D128" s="15"/>
      <c r="E128" s="15"/>
      <c r="F128" s="15"/>
    </row>
    <row r="129" spans="4:6" x14ac:dyDescent="0.3">
      <c r="D129" s="15"/>
      <c r="E129" s="15"/>
      <c r="F129" s="15"/>
    </row>
    <row r="130" spans="4:6" x14ac:dyDescent="0.3">
      <c r="D130" s="15"/>
      <c r="E130" s="15"/>
      <c r="F130" s="15"/>
    </row>
    <row r="131" spans="4:6" x14ac:dyDescent="0.3">
      <c r="D131" s="15"/>
      <c r="E131" s="15"/>
      <c r="F131" s="15"/>
    </row>
    <row r="132" spans="4:6" x14ac:dyDescent="0.3">
      <c r="D132" s="15"/>
      <c r="E132" s="15"/>
      <c r="F132" s="15"/>
    </row>
    <row r="133" spans="4:6" x14ac:dyDescent="0.3">
      <c r="D133" s="15"/>
      <c r="E133" s="15"/>
      <c r="F133" s="15"/>
    </row>
    <row r="134" spans="4:6" x14ac:dyDescent="0.3">
      <c r="D134" s="15"/>
      <c r="E134" s="15"/>
      <c r="F134" s="15"/>
    </row>
    <row r="135" spans="4:6" x14ac:dyDescent="0.3">
      <c r="D135" s="15"/>
      <c r="E135" s="15"/>
      <c r="F135" s="15"/>
    </row>
    <row r="136" spans="4:6" x14ac:dyDescent="0.3">
      <c r="D136" s="15"/>
      <c r="E136" s="15"/>
      <c r="F136" s="15"/>
    </row>
    <row r="137" spans="4:6" x14ac:dyDescent="0.3">
      <c r="D137" s="15"/>
      <c r="E137" s="15"/>
      <c r="F137" s="15"/>
    </row>
    <row r="138" spans="4:6" x14ac:dyDescent="0.3">
      <c r="D138" s="15"/>
      <c r="E138" s="15"/>
      <c r="F138" s="15"/>
    </row>
    <row r="139" spans="4:6" x14ac:dyDescent="0.3">
      <c r="D139" s="15"/>
      <c r="E139" s="15"/>
      <c r="F139" s="15"/>
    </row>
    <row r="140" spans="4:6" x14ac:dyDescent="0.3">
      <c r="D140" s="15"/>
      <c r="E140" s="15"/>
      <c r="F140" s="15"/>
    </row>
    <row r="141" spans="4:6" x14ac:dyDescent="0.3">
      <c r="D141" s="15"/>
      <c r="E141" s="15"/>
      <c r="F141" s="15"/>
    </row>
    <row r="142" spans="4:6" x14ac:dyDescent="0.3">
      <c r="D142" s="15"/>
      <c r="E142" s="15"/>
      <c r="F142" s="15"/>
    </row>
    <row r="143" spans="4:6" x14ac:dyDescent="0.3">
      <c r="D143" s="15"/>
      <c r="E143" s="15"/>
      <c r="F143" s="15"/>
    </row>
    <row r="144" spans="4:6" x14ac:dyDescent="0.3">
      <c r="D144" s="15"/>
      <c r="E144" s="15"/>
      <c r="F144" s="15"/>
    </row>
    <row r="145" spans="4:6" x14ac:dyDescent="0.3">
      <c r="D145" s="15"/>
      <c r="E145" s="15"/>
      <c r="F145" s="15"/>
    </row>
    <row r="146" spans="4:6" x14ac:dyDescent="0.3">
      <c r="D146" s="15"/>
      <c r="E146" s="15"/>
      <c r="F146" s="15"/>
    </row>
    <row r="147" spans="4:6" x14ac:dyDescent="0.3">
      <c r="D147" s="15"/>
      <c r="E147" s="15"/>
      <c r="F147" s="15"/>
    </row>
    <row r="148" spans="4:6" x14ac:dyDescent="0.3">
      <c r="D148" s="15"/>
      <c r="E148" s="15"/>
      <c r="F148" s="15"/>
    </row>
    <row r="149" spans="4:6" x14ac:dyDescent="0.3">
      <c r="D149" s="15"/>
      <c r="E149" s="15"/>
      <c r="F149" s="15"/>
    </row>
    <row r="150" spans="4:6" x14ac:dyDescent="0.3">
      <c r="D150" s="15"/>
      <c r="E150" s="15"/>
      <c r="F150" s="15"/>
    </row>
    <row r="151" spans="4:6" x14ac:dyDescent="0.3">
      <c r="D151" s="15"/>
      <c r="E151" s="15"/>
      <c r="F151" s="15"/>
    </row>
    <row r="152" spans="4:6" x14ac:dyDescent="0.3">
      <c r="D152" s="15"/>
      <c r="E152" s="15"/>
      <c r="F152" s="15"/>
    </row>
    <row r="153" spans="4:6" x14ac:dyDescent="0.3">
      <c r="D153" s="15"/>
      <c r="E153" s="15"/>
      <c r="F153" s="15"/>
    </row>
    <row r="154" spans="4:6" x14ac:dyDescent="0.3">
      <c r="D154" s="15"/>
      <c r="E154" s="15"/>
      <c r="F154" s="15"/>
    </row>
    <row r="155" spans="4:6" x14ac:dyDescent="0.3">
      <c r="D155" s="15"/>
      <c r="E155" s="15"/>
      <c r="F155" s="15"/>
    </row>
    <row r="156" spans="4:6" x14ac:dyDescent="0.3">
      <c r="D156" s="15"/>
      <c r="E156" s="15"/>
      <c r="F156" s="15"/>
    </row>
    <row r="157" spans="4:6" x14ac:dyDescent="0.3">
      <c r="D157" s="15"/>
      <c r="E157" s="15"/>
      <c r="F157" s="15"/>
    </row>
    <row r="158" spans="4:6" x14ac:dyDescent="0.3">
      <c r="D158" s="15"/>
      <c r="E158" s="15"/>
      <c r="F158" s="15"/>
    </row>
    <row r="159" spans="4:6" x14ac:dyDescent="0.3">
      <c r="D159" s="15"/>
      <c r="E159" s="15"/>
      <c r="F159" s="15"/>
    </row>
    <row r="160" spans="4:6" x14ac:dyDescent="0.3">
      <c r="D160" s="15"/>
      <c r="E160" s="15"/>
      <c r="F160" s="15"/>
    </row>
    <row r="161" spans="4:6" x14ac:dyDescent="0.3">
      <c r="D161" s="15"/>
      <c r="E161" s="15"/>
      <c r="F161" s="15"/>
    </row>
    <row r="162" spans="4:6" x14ac:dyDescent="0.3">
      <c r="D162" s="15"/>
      <c r="E162" s="15"/>
      <c r="F162" s="15"/>
    </row>
    <row r="163" spans="4:6" x14ac:dyDescent="0.3">
      <c r="D163" s="15"/>
      <c r="E163" s="15"/>
      <c r="F163" s="15"/>
    </row>
    <row r="164" spans="4:6" x14ac:dyDescent="0.3">
      <c r="D164" s="15"/>
      <c r="E164" s="15"/>
      <c r="F164" s="15"/>
    </row>
    <row r="165" spans="4:6" x14ac:dyDescent="0.3">
      <c r="D165" s="15"/>
      <c r="E165" s="15"/>
      <c r="F165" s="15"/>
    </row>
    <row r="166" spans="4:6" x14ac:dyDescent="0.3">
      <c r="D166" s="15"/>
      <c r="E166" s="15"/>
      <c r="F166" s="15"/>
    </row>
    <row r="167" spans="4:6" x14ac:dyDescent="0.3">
      <c r="D167" s="15"/>
      <c r="E167" s="15"/>
      <c r="F167" s="15"/>
    </row>
    <row r="168" spans="4:6" x14ac:dyDescent="0.3">
      <c r="D168" s="15"/>
      <c r="E168" s="15"/>
      <c r="F168" s="15"/>
    </row>
    <row r="169" spans="4:6" x14ac:dyDescent="0.3">
      <c r="D169" s="15"/>
      <c r="E169" s="15"/>
      <c r="F169" s="15"/>
    </row>
    <row r="170" spans="4:6" x14ac:dyDescent="0.3">
      <c r="D170" s="15"/>
      <c r="E170" s="15"/>
      <c r="F170" s="15"/>
    </row>
    <row r="171" spans="4:6" x14ac:dyDescent="0.3">
      <c r="D171" s="15"/>
      <c r="E171" s="15"/>
      <c r="F171" s="15"/>
    </row>
    <row r="172" spans="4:6" x14ac:dyDescent="0.3">
      <c r="D172" s="15"/>
      <c r="E172" s="15"/>
      <c r="F172" s="15"/>
    </row>
    <row r="173" spans="4:6" x14ac:dyDescent="0.3">
      <c r="D173" s="15"/>
      <c r="E173" s="15"/>
      <c r="F173" s="15"/>
    </row>
    <row r="174" spans="4:6" x14ac:dyDescent="0.3">
      <c r="D174" s="15"/>
      <c r="E174" s="15"/>
      <c r="F174" s="15"/>
    </row>
    <row r="175" spans="4:6" x14ac:dyDescent="0.3">
      <c r="D175" s="15"/>
      <c r="E175" s="15"/>
      <c r="F175" s="15"/>
    </row>
    <row r="176" spans="4:6" x14ac:dyDescent="0.3">
      <c r="D176" s="15"/>
      <c r="E176" s="15"/>
      <c r="F176" s="15"/>
    </row>
    <row r="177" spans="4:6" x14ac:dyDescent="0.3">
      <c r="D177" s="15"/>
      <c r="E177" s="15"/>
      <c r="F177" s="15"/>
    </row>
    <row r="178" spans="4:6" x14ac:dyDescent="0.3">
      <c r="D178" s="15"/>
      <c r="E178" s="15"/>
      <c r="F178" s="15"/>
    </row>
    <row r="179" spans="4:6" x14ac:dyDescent="0.3">
      <c r="D179" s="15"/>
      <c r="E179" s="15"/>
      <c r="F179" s="15"/>
    </row>
    <row r="180" spans="4:6" x14ac:dyDescent="0.3">
      <c r="D180" s="15"/>
      <c r="E180" s="15"/>
      <c r="F180" s="15"/>
    </row>
    <row r="181" spans="4:6" x14ac:dyDescent="0.3">
      <c r="D181" s="15"/>
      <c r="E181" s="15"/>
      <c r="F181" s="15"/>
    </row>
    <row r="182" spans="4:6" x14ac:dyDescent="0.3">
      <c r="D182" s="15"/>
      <c r="E182" s="15"/>
      <c r="F182" s="15"/>
    </row>
    <row r="183" spans="4:6" x14ac:dyDescent="0.3">
      <c r="D183" s="15"/>
      <c r="E183" s="15"/>
      <c r="F183" s="15"/>
    </row>
    <row r="184" spans="4:6" x14ac:dyDescent="0.3">
      <c r="D184" s="15"/>
      <c r="E184" s="15"/>
      <c r="F184" s="15"/>
    </row>
    <row r="185" spans="4:6" x14ac:dyDescent="0.3">
      <c r="D185" s="15"/>
      <c r="E185" s="15"/>
      <c r="F185" s="15"/>
    </row>
    <row r="186" spans="4:6" x14ac:dyDescent="0.3">
      <c r="D186" s="15"/>
      <c r="E186" s="15"/>
      <c r="F186" s="15"/>
    </row>
    <row r="187" spans="4:6" x14ac:dyDescent="0.3">
      <c r="D187" s="15"/>
      <c r="E187" s="15"/>
      <c r="F187" s="15"/>
    </row>
    <row r="188" spans="4:6" x14ac:dyDescent="0.3">
      <c r="D188" s="15"/>
      <c r="E188" s="15"/>
      <c r="F188" s="15"/>
    </row>
    <row r="189" spans="4:6" x14ac:dyDescent="0.3">
      <c r="D189" s="15"/>
      <c r="E189" s="15"/>
      <c r="F189" s="15"/>
    </row>
    <row r="190" spans="4:6" x14ac:dyDescent="0.3">
      <c r="D190" s="15"/>
      <c r="E190" s="15"/>
      <c r="F190" s="15"/>
    </row>
    <row r="191" spans="4:6" x14ac:dyDescent="0.3">
      <c r="D191" s="15"/>
      <c r="E191" s="15"/>
      <c r="F191" s="15"/>
    </row>
    <row r="192" spans="4:6" x14ac:dyDescent="0.3">
      <c r="D192" s="15"/>
      <c r="E192" s="15"/>
      <c r="F192" s="15"/>
    </row>
    <row r="193" spans="4:6" x14ac:dyDescent="0.3">
      <c r="D193" s="15"/>
      <c r="E193" s="15"/>
      <c r="F193" s="15"/>
    </row>
    <row r="194" spans="4:6" x14ac:dyDescent="0.3">
      <c r="D194" s="15"/>
      <c r="E194" s="15"/>
      <c r="F194" s="15"/>
    </row>
    <row r="195" spans="4:6" x14ac:dyDescent="0.3">
      <c r="D195" s="15"/>
      <c r="E195" s="15"/>
      <c r="F195" s="15"/>
    </row>
    <row r="196" spans="4:6" x14ac:dyDescent="0.3">
      <c r="D196" s="15"/>
      <c r="E196" s="15"/>
      <c r="F196" s="15"/>
    </row>
    <row r="197" spans="4:6" x14ac:dyDescent="0.3">
      <c r="D197" s="15"/>
      <c r="E197" s="15"/>
      <c r="F197" s="15"/>
    </row>
    <row r="198" spans="4:6" x14ac:dyDescent="0.3">
      <c r="D198" s="15"/>
      <c r="E198" s="15"/>
      <c r="F198" s="15"/>
    </row>
    <row r="199" spans="4:6" x14ac:dyDescent="0.3">
      <c r="D199" s="15"/>
      <c r="E199" s="15"/>
      <c r="F199" s="15"/>
    </row>
    <row r="200" spans="4:6" x14ac:dyDescent="0.3">
      <c r="D200" s="15"/>
      <c r="E200" s="15"/>
      <c r="F200" s="15"/>
    </row>
    <row r="201" spans="4:6" x14ac:dyDescent="0.3">
      <c r="D201" s="15"/>
      <c r="E201" s="15"/>
      <c r="F201" s="15"/>
    </row>
    <row r="202" spans="4:6" x14ac:dyDescent="0.3">
      <c r="D202" s="15"/>
      <c r="E202" s="15"/>
      <c r="F202" s="15"/>
    </row>
    <row r="203" spans="4:6" x14ac:dyDescent="0.3">
      <c r="D203" s="15"/>
      <c r="E203" s="15"/>
      <c r="F203" s="15"/>
    </row>
    <row r="204" spans="4:6" x14ac:dyDescent="0.3">
      <c r="D204" s="15"/>
      <c r="E204" s="15"/>
      <c r="F204" s="15"/>
    </row>
    <row r="205" spans="4:6" x14ac:dyDescent="0.3">
      <c r="D205" s="15"/>
      <c r="E205" s="15"/>
      <c r="F205" s="15"/>
    </row>
    <row r="206" spans="4:6" x14ac:dyDescent="0.3">
      <c r="D206" s="15"/>
      <c r="E206" s="15"/>
      <c r="F206" s="15"/>
    </row>
    <row r="207" spans="4:6" x14ac:dyDescent="0.3">
      <c r="D207" s="15"/>
      <c r="E207" s="15"/>
      <c r="F207" s="15"/>
    </row>
    <row r="208" spans="4:6" x14ac:dyDescent="0.3">
      <c r="D208" s="15"/>
      <c r="E208" s="15"/>
      <c r="F208" s="15"/>
    </row>
    <row r="209" spans="4:6" x14ac:dyDescent="0.3">
      <c r="D209" s="15"/>
      <c r="E209" s="15"/>
      <c r="F209" s="15"/>
    </row>
    <row r="210" spans="4:6" x14ac:dyDescent="0.3">
      <c r="D210" s="15"/>
      <c r="E210" s="15"/>
      <c r="F210" s="15"/>
    </row>
    <row r="211" spans="4:6" x14ac:dyDescent="0.3">
      <c r="D211" s="15"/>
      <c r="E211" s="15"/>
      <c r="F211" s="15"/>
    </row>
    <row r="212" spans="4:6" x14ac:dyDescent="0.3">
      <c r="D212" s="15"/>
      <c r="E212" s="15"/>
      <c r="F212" s="15"/>
    </row>
    <row r="213" spans="4:6" x14ac:dyDescent="0.3">
      <c r="D213" s="15"/>
      <c r="E213" s="15"/>
      <c r="F213" s="15"/>
    </row>
    <row r="214" spans="4:6" x14ac:dyDescent="0.3">
      <c r="D214" s="15"/>
      <c r="E214" s="15"/>
      <c r="F214" s="15"/>
    </row>
    <row r="215" spans="4:6" x14ac:dyDescent="0.3">
      <c r="D215" s="15"/>
      <c r="E215" s="15"/>
      <c r="F215" s="15"/>
    </row>
    <row r="216" spans="4:6" x14ac:dyDescent="0.3">
      <c r="D216" s="15"/>
      <c r="E216" s="15"/>
      <c r="F216" s="15"/>
    </row>
    <row r="217" spans="4:6" x14ac:dyDescent="0.3">
      <c r="D217" s="15"/>
      <c r="E217" s="15"/>
      <c r="F217" s="15"/>
    </row>
    <row r="218" spans="4:6" x14ac:dyDescent="0.3">
      <c r="D218" s="15"/>
      <c r="E218" s="15"/>
      <c r="F218" s="15"/>
    </row>
    <row r="219" spans="4:6" x14ac:dyDescent="0.3">
      <c r="D219" s="15"/>
      <c r="E219" s="15"/>
      <c r="F219" s="15"/>
    </row>
    <row r="220" spans="4:6" x14ac:dyDescent="0.3">
      <c r="D220" s="15"/>
      <c r="E220" s="15"/>
      <c r="F220" s="15"/>
    </row>
    <row r="221" spans="4:6" x14ac:dyDescent="0.3">
      <c r="D221" s="15"/>
      <c r="E221" s="15"/>
      <c r="F221" s="15"/>
    </row>
    <row r="222" spans="4:6" x14ac:dyDescent="0.3">
      <c r="D222" s="15"/>
      <c r="E222" s="15"/>
      <c r="F222" s="15"/>
    </row>
    <row r="223" spans="4:6" x14ac:dyDescent="0.3">
      <c r="D223" s="15"/>
      <c r="E223" s="15"/>
      <c r="F223" s="15"/>
    </row>
    <row r="224" spans="4:6" x14ac:dyDescent="0.3">
      <c r="D224" s="15"/>
      <c r="E224" s="15"/>
      <c r="F224" s="15"/>
    </row>
    <row r="225" spans="4:6" x14ac:dyDescent="0.3">
      <c r="D225" s="15"/>
      <c r="E225" s="15"/>
      <c r="F225" s="15"/>
    </row>
    <row r="226" spans="4:6" x14ac:dyDescent="0.3">
      <c r="D226" s="15"/>
      <c r="E226" s="15"/>
      <c r="F226" s="15"/>
    </row>
    <row r="227" spans="4:6" x14ac:dyDescent="0.3">
      <c r="D227" s="15"/>
      <c r="E227" s="15"/>
      <c r="F227" s="15"/>
    </row>
    <row r="228" spans="4:6" x14ac:dyDescent="0.3">
      <c r="D228" s="15"/>
      <c r="E228" s="15"/>
      <c r="F228" s="15"/>
    </row>
    <row r="229" spans="4:6" x14ac:dyDescent="0.3">
      <c r="D229" s="15"/>
      <c r="E229" s="15"/>
      <c r="F229" s="15"/>
    </row>
    <row r="230" spans="4:6" x14ac:dyDescent="0.3">
      <c r="D230" s="15"/>
      <c r="E230" s="15"/>
      <c r="F230" s="15"/>
    </row>
    <row r="231" spans="4:6" x14ac:dyDescent="0.3">
      <c r="D231" s="15"/>
      <c r="E231" s="15"/>
      <c r="F231" s="15"/>
    </row>
    <row r="232" spans="4:6" x14ac:dyDescent="0.3">
      <c r="D232" s="15"/>
      <c r="E232" s="15"/>
      <c r="F232" s="15"/>
    </row>
    <row r="233" spans="4:6" x14ac:dyDescent="0.3">
      <c r="D233" s="15"/>
      <c r="E233" s="15"/>
      <c r="F233" s="15"/>
    </row>
    <row r="234" spans="4:6" x14ac:dyDescent="0.3">
      <c r="D234" s="15"/>
      <c r="E234" s="15"/>
      <c r="F234" s="15"/>
    </row>
    <row r="235" spans="4:6" x14ac:dyDescent="0.3">
      <c r="D235" s="15"/>
      <c r="E235" s="15"/>
      <c r="F235" s="15"/>
    </row>
    <row r="236" spans="4:6" x14ac:dyDescent="0.3">
      <c r="D236" s="15"/>
      <c r="E236" s="15"/>
      <c r="F236" s="15"/>
    </row>
    <row r="237" spans="4:6" x14ac:dyDescent="0.3">
      <c r="D237" s="15"/>
      <c r="E237" s="15"/>
      <c r="F237" s="15"/>
    </row>
    <row r="238" spans="4:6" x14ac:dyDescent="0.3">
      <c r="D238" s="15"/>
      <c r="E238" s="15"/>
      <c r="F238" s="15"/>
    </row>
    <row r="239" spans="4:6" x14ac:dyDescent="0.3">
      <c r="D239" s="15"/>
      <c r="E239" s="15"/>
      <c r="F239" s="15"/>
    </row>
    <row r="240" spans="4:6" x14ac:dyDescent="0.3">
      <c r="D240" s="15"/>
      <c r="E240" s="15"/>
      <c r="F240" s="15"/>
    </row>
    <row r="241" spans="4:6" x14ac:dyDescent="0.3">
      <c r="D241" s="15"/>
      <c r="E241" s="15"/>
      <c r="F241" s="15"/>
    </row>
    <row r="242" spans="4:6" x14ac:dyDescent="0.3">
      <c r="D242" s="15"/>
      <c r="E242" s="15"/>
      <c r="F242" s="15"/>
    </row>
    <row r="243" spans="4:6" x14ac:dyDescent="0.3">
      <c r="D243" s="15"/>
      <c r="E243" s="15"/>
      <c r="F243" s="15"/>
    </row>
    <row r="244" spans="4:6" x14ac:dyDescent="0.3">
      <c r="D244" s="15"/>
      <c r="E244" s="15"/>
      <c r="F244" s="15"/>
    </row>
    <row r="245" spans="4:6" x14ac:dyDescent="0.3">
      <c r="D245" s="15"/>
      <c r="E245" s="15"/>
      <c r="F245" s="15"/>
    </row>
    <row r="246" spans="4:6" x14ac:dyDescent="0.3">
      <c r="D246" s="15"/>
      <c r="E246" s="15"/>
      <c r="F246" s="15"/>
    </row>
    <row r="247" spans="4:6" x14ac:dyDescent="0.3">
      <c r="D247" s="15"/>
      <c r="E247" s="15"/>
      <c r="F247" s="15"/>
    </row>
    <row r="248" spans="4:6" x14ac:dyDescent="0.3">
      <c r="D248" s="15"/>
      <c r="E248" s="15"/>
      <c r="F248" s="15"/>
    </row>
    <row r="249" spans="4:6" x14ac:dyDescent="0.3">
      <c r="D249" s="15"/>
      <c r="E249" s="15"/>
      <c r="F249" s="15"/>
    </row>
    <row r="250" spans="4:6" x14ac:dyDescent="0.3">
      <c r="D250" s="15"/>
      <c r="E250" s="15"/>
      <c r="F250" s="15"/>
    </row>
    <row r="251" spans="4:6" x14ac:dyDescent="0.3">
      <c r="D251" s="15"/>
      <c r="E251" s="15"/>
      <c r="F251" s="15"/>
    </row>
    <row r="252" spans="4:6" x14ac:dyDescent="0.3">
      <c r="D252" s="15"/>
      <c r="E252" s="15"/>
      <c r="F252" s="15"/>
    </row>
    <row r="253" spans="4:6" x14ac:dyDescent="0.3">
      <c r="D253" s="15"/>
      <c r="E253" s="15"/>
      <c r="F253" s="15"/>
    </row>
    <row r="254" spans="4:6" x14ac:dyDescent="0.3">
      <c r="D254" s="15"/>
      <c r="E254" s="15"/>
      <c r="F254" s="15"/>
    </row>
    <row r="255" spans="4:6" x14ac:dyDescent="0.3">
      <c r="D255" s="15"/>
      <c r="E255" s="15"/>
      <c r="F255" s="15"/>
    </row>
    <row r="256" spans="4:6" x14ac:dyDescent="0.3">
      <c r="D256" s="15"/>
      <c r="E256" s="15"/>
      <c r="F256" s="15"/>
    </row>
    <row r="257" spans="4:6" x14ac:dyDescent="0.3">
      <c r="D257" s="15"/>
      <c r="E257" s="15"/>
      <c r="F257" s="15"/>
    </row>
    <row r="258" spans="4:6" x14ac:dyDescent="0.3">
      <c r="D258" s="15"/>
      <c r="E258" s="15"/>
      <c r="F258" s="15"/>
    </row>
    <row r="259" spans="4:6" x14ac:dyDescent="0.3">
      <c r="D259" s="15"/>
      <c r="E259" s="15"/>
      <c r="F259" s="15"/>
    </row>
    <row r="260" spans="4:6" x14ac:dyDescent="0.3">
      <c r="D260" s="15"/>
      <c r="E260" s="15"/>
      <c r="F260" s="15"/>
    </row>
    <row r="261" spans="4:6" x14ac:dyDescent="0.3">
      <c r="D261" s="15"/>
      <c r="E261" s="15"/>
      <c r="F261" s="15"/>
    </row>
    <row r="262" spans="4:6" x14ac:dyDescent="0.3">
      <c r="D262" s="15"/>
      <c r="E262" s="15"/>
      <c r="F262" s="15"/>
    </row>
    <row r="263" spans="4:6" x14ac:dyDescent="0.3">
      <c r="D263" s="15"/>
      <c r="E263" s="15"/>
      <c r="F263" s="15"/>
    </row>
    <row r="264" spans="4:6" x14ac:dyDescent="0.3">
      <c r="D264" s="15"/>
      <c r="E264" s="15"/>
      <c r="F264" s="15"/>
    </row>
    <row r="265" spans="4:6" x14ac:dyDescent="0.3">
      <c r="D265" s="15"/>
      <c r="E265" s="15"/>
      <c r="F265" s="15"/>
    </row>
    <row r="266" spans="4:6" x14ac:dyDescent="0.3">
      <c r="D266" s="15"/>
      <c r="E266" s="15"/>
      <c r="F266" s="15"/>
    </row>
    <row r="267" spans="4:6" x14ac:dyDescent="0.3">
      <c r="D267" s="15"/>
      <c r="E267" s="15"/>
      <c r="F267" s="15"/>
    </row>
    <row r="268" spans="4:6" x14ac:dyDescent="0.3">
      <c r="D268" s="15"/>
      <c r="E268" s="15"/>
      <c r="F268" s="15"/>
    </row>
    <row r="269" spans="4:6" x14ac:dyDescent="0.3">
      <c r="D269" s="15"/>
      <c r="E269" s="15"/>
      <c r="F269" s="15"/>
    </row>
    <row r="270" spans="4:6" x14ac:dyDescent="0.3">
      <c r="D270" s="15"/>
      <c r="E270" s="15"/>
      <c r="F270" s="15"/>
    </row>
    <row r="271" spans="4:6" x14ac:dyDescent="0.3">
      <c r="D271" s="15"/>
      <c r="E271" s="15"/>
      <c r="F271" s="15"/>
    </row>
    <row r="272" spans="4:6" x14ac:dyDescent="0.3">
      <c r="D272" s="15"/>
      <c r="E272" s="15"/>
      <c r="F272" s="15"/>
    </row>
    <row r="273" spans="4:6" x14ac:dyDescent="0.3">
      <c r="D273" s="15"/>
      <c r="E273" s="15"/>
      <c r="F273" s="15"/>
    </row>
    <row r="274" spans="4:6" x14ac:dyDescent="0.3">
      <c r="D274" s="15"/>
      <c r="E274" s="15"/>
      <c r="F274" s="15"/>
    </row>
    <row r="275" spans="4:6" x14ac:dyDescent="0.3">
      <c r="D275" s="15"/>
      <c r="E275" s="15"/>
      <c r="F275" s="15"/>
    </row>
    <row r="276" spans="4:6" x14ac:dyDescent="0.3">
      <c r="D276" s="15"/>
      <c r="E276" s="15"/>
      <c r="F276" s="15"/>
    </row>
    <row r="277" spans="4:6" x14ac:dyDescent="0.3">
      <c r="D277" s="15"/>
      <c r="E277" s="15"/>
      <c r="F277" s="15"/>
    </row>
    <row r="278" spans="4:6" x14ac:dyDescent="0.3">
      <c r="D278" s="15"/>
      <c r="E278" s="15"/>
      <c r="F278" s="15"/>
    </row>
    <row r="279" spans="4:6" x14ac:dyDescent="0.3">
      <c r="D279" s="15"/>
      <c r="E279" s="15"/>
      <c r="F279" s="15"/>
    </row>
    <row r="280" spans="4:6" x14ac:dyDescent="0.3">
      <c r="D280" s="15"/>
      <c r="E280" s="15"/>
      <c r="F280" s="15"/>
    </row>
    <row r="281" spans="4:6" x14ac:dyDescent="0.3">
      <c r="D281" s="15"/>
      <c r="E281" s="15"/>
      <c r="F281" s="15"/>
    </row>
    <row r="282" spans="4:6" x14ac:dyDescent="0.3">
      <c r="D282" s="15"/>
      <c r="E282" s="15"/>
      <c r="F282" s="15"/>
    </row>
    <row r="283" spans="4:6" x14ac:dyDescent="0.3">
      <c r="D283" s="15"/>
      <c r="E283" s="15"/>
      <c r="F283" s="15"/>
    </row>
    <row r="284" spans="4:6" x14ac:dyDescent="0.3">
      <c r="D284" s="15"/>
      <c r="E284" s="15"/>
      <c r="F284" s="15"/>
    </row>
    <row r="285" spans="4:6" x14ac:dyDescent="0.3">
      <c r="D285" s="15"/>
      <c r="E285" s="15"/>
      <c r="F285" s="15"/>
    </row>
    <row r="286" spans="4:6" x14ac:dyDescent="0.3">
      <c r="D286" s="15"/>
      <c r="E286" s="15"/>
      <c r="F286" s="15"/>
    </row>
    <row r="287" spans="4:6" x14ac:dyDescent="0.3">
      <c r="D287" s="15"/>
      <c r="E287" s="15"/>
      <c r="F287" s="15"/>
    </row>
    <row r="288" spans="4:6" x14ac:dyDescent="0.3">
      <c r="D288" s="15"/>
      <c r="E288" s="15"/>
      <c r="F288" s="15"/>
    </row>
    <row r="289" spans="4:6" x14ac:dyDescent="0.3">
      <c r="D289" s="15"/>
      <c r="E289" s="15"/>
      <c r="F289" s="15"/>
    </row>
    <row r="290" spans="4:6" x14ac:dyDescent="0.3">
      <c r="D290" s="15"/>
      <c r="E290" s="15"/>
      <c r="F290" s="15"/>
    </row>
    <row r="291" spans="4:6" x14ac:dyDescent="0.3">
      <c r="D291" s="15"/>
      <c r="E291" s="15"/>
      <c r="F291" s="15"/>
    </row>
    <row r="292" spans="4:6" x14ac:dyDescent="0.3">
      <c r="D292" s="15"/>
      <c r="E292" s="15"/>
      <c r="F292" s="15"/>
    </row>
    <row r="293" spans="4:6" x14ac:dyDescent="0.3">
      <c r="D293" s="15"/>
      <c r="E293" s="15"/>
      <c r="F293" s="15"/>
    </row>
    <row r="294" spans="4:6" x14ac:dyDescent="0.3">
      <c r="D294" s="15"/>
      <c r="E294" s="15"/>
      <c r="F294" s="15"/>
    </row>
    <row r="295" spans="4:6" x14ac:dyDescent="0.3">
      <c r="D295" s="15"/>
      <c r="E295" s="15"/>
      <c r="F295" s="15"/>
    </row>
    <row r="296" spans="4:6" x14ac:dyDescent="0.3">
      <c r="D296" s="15"/>
      <c r="E296" s="15"/>
      <c r="F296" s="15"/>
    </row>
    <row r="297" spans="4:6" x14ac:dyDescent="0.3">
      <c r="D297" s="15"/>
      <c r="E297" s="15"/>
      <c r="F297" s="15"/>
    </row>
    <row r="298" spans="4:6" x14ac:dyDescent="0.3">
      <c r="D298" s="15"/>
      <c r="E298" s="15"/>
      <c r="F298" s="15"/>
    </row>
    <row r="299" spans="4:6" x14ac:dyDescent="0.3">
      <c r="D299" s="15"/>
      <c r="E299" s="15"/>
      <c r="F299" s="15"/>
    </row>
    <row r="300" spans="4:6" x14ac:dyDescent="0.3">
      <c r="D300" s="15"/>
      <c r="E300" s="15"/>
      <c r="F300" s="15"/>
    </row>
    <row r="301" spans="4:6" x14ac:dyDescent="0.3">
      <c r="D301" s="15"/>
      <c r="E301" s="15"/>
      <c r="F301" s="15"/>
    </row>
    <row r="302" spans="4:6" x14ac:dyDescent="0.3">
      <c r="D302" s="15"/>
      <c r="E302" s="15"/>
      <c r="F302" s="15"/>
    </row>
    <row r="303" spans="4:6" x14ac:dyDescent="0.3">
      <c r="D303" s="15"/>
      <c r="E303" s="15"/>
      <c r="F303" s="15"/>
    </row>
    <row r="304" spans="4:6" x14ac:dyDescent="0.3">
      <c r="D304" s="15"/>
      <c r="E304" s="15"/>
      <c r="F304" s="15"/>
    </row>
    <row r="305" spans="4:6" x14ac:dyDescent="0.3">
      <c r="D305" s="15"/>
      <c r="E305" s="15"/>
      <c r="F305" s="15"/>
    </row>
    <row r="306" spans="4:6" x14ac:dyDescent="0.3">
      <c r="D306" s="15"/>
      <c r="E306" s="15"/>
      <c r="F306" s="15"/>
    </row>
    <row r="307" spans="4:6" x14ac:dyDescent="0.3">
      <c r="D307" s="15"/>
      <c r="E307" s="15"/>
      <c r="F307" s="15"/>
    </row>
    <row r="308" spans="4:6" x14ac:dyDescent="0.3">
      <c r="D308" s="15"/>
      <c r="E308" s="15"/>
      <c r="F308" s="15"/>
    </row>
    <row r="309" spans="4:6" x14ac:dyDescent="0.3">
      <c r="D309" s="15"/>
      <c r="E309" s="15"/>
      <c r="F309" s="15"/>
    </row>
    <row r="310" spans="4:6" x14ac:dyDescent="0.3">
      <c r="D310" s="15"/>
      <c r="E310" s="15"/>
      <c r="F310" s="15"/>
    </row>
  </sheetData>
  <protectedRanges>
    <protectedRange algorithmName="SHA-512" hashValue="3rlsgSR584t1znw3GG/jR+L7UwUk8+DYzhlDsLCad2vrVjJVRDCmeBcc4WzbK0Zybn7tX3HabJjxinaLwhJMHw==" saltValue="T14u9aFtPzNjJ+0X8N2FaQ==" spinCount="100000" sqref="L7 L20:L24 L10:L15" name="RP TOTAL"/>
  </protectedRanges>
  <mergeCells count="17">
    <mergeCell ref="B1:F1"/>
    <mergeCell ref="H1:J1"/>
    <mergeCell ref="K1:L1"/>
    <mergeCell ref="M1:N1"/>
    <mergeCell ref="B2:F2"/>
    <mergeCell ref="H2:J2"/>
    <mergeCell ref="K2:L2"/>
    <mergeCell ref="M2:N2"/>
    <mergeCell ref="M20:M22"/>
    <mergeCell ref="K17:K18"/>
    <mergeCell ref="L17:N18"/>
    <mergeCell ref="K6:L6"/>
    <mergeCell ref="B3:F3"/>
    <mergeCell ref="H3:J3"/>
    <mergeCell ref="K3:L3"/>
    <mergeCell ref="M3:N3"/>
    <mergeCell ref="N9:O9"/>
  </mergeCells>
  <conditionalFormatting sqref="G4">
    <cfRule type="containsText" dxfId="4" priority="1" operator="containsText" text="3rd LOT">
      <formula>NOT(ISERROR(SEARCH("3rd LOT",G4)))</formula>
    </cfRule>
    <cfRule type="containsText" dxfId="3" priority="2" operator="containsText" text="CANCELLED">
      <formula>NOT(ISERROR(SEARCH("CANCELLED",G4)))</formula>
    </cfRule>
    <cfRule type="containsText" dxfId="2" priority="3" operator="containsText" text="ON HOLD">
      <formula>NOT(ISERROR(SEARCH("ON HOLD",G4)))</formula>
    </cfRule>
    <cfRule type="containsText" dxfId="1" priority="4" operator="containsText" text="2nd LOT">
      <formula>NOT(ISERROR(SEARCH("2nd LOT",G4)))</formula>
    </cfRule>
    <cfRule type="containsText" dxfId="0" priority="5" operator="containsText" text="1st LOT">
      <formula>NOT(ISERROR(SEARCH("1st LOT",G4)))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ransferDataToLastRow">
                <anchor moveWithCells="1" sizeWithCells="1">
                  <from>
                    <xdr:col>7</xdr:col>
                    <xdr:colOff>312420</xdr:colOff>
                    <xdr:row>5</xdr:row>
                    <xdr:rowOff>114300</xdr:rowOff>
                  </from>
                  <to>
                    <xdr:col>9</xdr:col>
                    <xdr:colOff>274320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Client Master</vt:lpstr>
      <vt:lpstr>1st LOT</vt:lpstr>
      <vt:lpstr>2nd LOT</vt:lpstr>
      <vt:lpstr>3rd LOT</vt:lpstr>
      <vt:lpstr>CANCELLED</vt:lpstr>
      <vt:lpstr>ON HOLD</vt:lpstr>
      <vt:lpstr>FBS 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Bharat Jangid</dc:creator>
  <cp:lastModifiedBy>Bharat Jangid</cp:lastModifiedBy>
  <dcterms:created xsi:type="dcterms:W3CDTF">2015-06-05T18:17:20Z</dcterms:created>
  <dcterms:modified xsi:type="dcterms:W3CDTF">2024-08-21T12:25:29Z</dcterms:modified>
</cp:coreProperties>
</file>